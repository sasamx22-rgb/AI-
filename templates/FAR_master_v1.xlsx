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현재_통합_문서" defaultThemeVersion="124226"/>
  <xr:revisionPtr revIDLastSave="0" documentId="13_ncr:1_{843AC6D4-BAF0-44ED-8523-8D2E238C0075}" xr6:coauthVersionLast="47" xr6:coauthVersionMax="47" xr10:uidLastSave="{00000000-0000-0000-0000-000000000000}"/>
  <bookViews>
    <workbookView xWindow="-120" yWindow="-120" windowWidth="29040" windowHeight="15720" tabRatio="789" xr2:uid="{DF1BC0A9-5276-4427-9274-D60DAF0ED6B0}"/>
  </bookViews>
  <sheets>
    <sheet name="사용안내" sheetId="18" r:id="rId1"/>
    <sheet name="공시BS" sheetId="7" r:id="rId2"/>
    <sheet name="공시IS" sheetId="8" r:id="rId3"/>
    <sheet name="공시CIE" sheetId="9" r:id="rId4"/>
    <sheet name="공시CF" sheetId="10" r:id="rId5"/>
    <sheet name="왜곡표시" sheetId="12" r:id="rId6"/>
    <sheet name="FAR" sheetId="6" r:id="rId7"/>
  </sheets>
  <externalReferences>
    <externalReference r:id="rId8"/>
  </externalReferences>
  <definedNames>
    <definedName name="_xlnm._FilterDatabase" localSheetId="6" hidden="1">FAR!$B$13:$S$374</definedName>
    <definedName name="CurMonths">FAR!$P$5</definedName>
    <definedName name="_xlnm.Print_Area" localSheetId="6">FAR!$A$1:$V$528</definedName>
    <definedName name="_xlnm.Print_Area" localSheetId="2">공시IS!$A$1:$G$29</definedName>
    <definedName name="_xlnm.Print_Area" localSheetId="5">왜곡표시!$A$1:$N$65</definedName>
    <definedName name="_xlnm.Print_Area">[1]합손!#REF!</definedName>
    <definedName name="_xlnm.Print_Titles">#N/A</definedName>
    <definedName name="PriorMonths">FAR!$P$6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9" i="6" l="1"/>
  <c r="J198" i="6"/>
  <c r="J196" i="6"/>
  <c r="J195" i="6"/>
  <c r="J194" i="6"/>
  <c r="J192" i="6"/>
  <c r="J191" i="6"/>
  <c r="J190" i="6"/>
  <c r="J188" i="6"/>
  <c r="J187" i="6"/>
  <c r="J186" i="6"/>
  <c r="J185" i="6"/>
  <c r="J183" i="6"/>
  <c r="J182" i="6"/>
  <c r="J180" i="6"/>
  <c r="H482" i="6"/>
  <c r="H378" i="6"/>
  <c r="Q5" i="6"/>
  <c r="J324" i="6" l="1"/>
  <c r="L324" i="6" s="1"/>
  <c r="J113" i="6"/>
  <c r="J112" i="6"/>
  <c r="J111" i="6"/>
  <c r="J110" i="6"/>
  <c r="G62" i="12"/>
  <c r="J62" i="12" l="1"/>
  <c r="I62" i="12" l="1"/>
  <c r="H329" i="6" l="1"/>
  <c r="H62" i="12" l="1"/>
  <c r="H385" i="6"/>
  <c r="H394" i="6" s="1"/>
  <c r="H401" i="6" s="1"/>
  <c r="J49" i="6"/>
  <c r="J370" i="6" l="1"/>
  <c r="G20" i="9" l="1"/>
  <c r="E14" i="8"/>
  <c r="E15" i="8"/>
  <c r="E9" i="9"/>
  <c r="F9" i="9"/>
  <c r="G8" i="9"/>
  <c r="G9" i="9" l="1"/>
  <c r="H518" i="6" l="1"/>
  <c r="H470" i="6"/>
  <c r="H469" i="6"/>
  <c r="H468" i="6"/>
  <c r="H467" i="6"/>
  <c r="H466" i="6"/>
  <c r="H465" i="6"/>
  <c r="H464" i="6"/>
  <c r="H463" i="6"/>
  <c r="H442" i="6" l="1"/>
  <c r="H441" i="6"/>
  <c r="J103" i="6" l="1"/>
  <c r="K62" i="12"/>
  <c r="I284" i="6"/>
  <c r="I329" i="6" s="1"/>
  <c r="J329" i="6" s="1"/>
  <c r="E50" i="10" l="1"/>
  <c r="E43" i="10"/>
  <c r="E28" i="10"/>
  <c r="E15" i="10"/>
  <c r="F8" i="10"/>
  <c r="C50" i="10"/>
  <c r="C43" i="10"/>
  <c r="C28" i="10"/>
  <c r="C15" i="10"/>
  <c r="D8" i="10"/>
  <c r="D42" i="10" l="1"/>
  <c r="F42" i="10"/>
  <c r="F14" i="10"/>
  <c r="D14" i="10"/>
  <c r="D26" i="9" l="1"/>
  <c r="D30" i="9" s="1"/>
  <c r="C26" i="9"/>
  <c r="C30" i="9" s="1"/>
  <c r="B26" i="9"/>
  <c r="B30" i="9" s="1"/>
  <c r="G18" i="9"/>
  <c r="D15" i="9"/>
  <c r="C15" i="9"/>
  <c r="B15" i="9"/>
  <c r="D9" i="9"/>
  <c r="C9" i="9"/>
  <c r="B9" i="9"/>
  <c r="K23" i="8"/>
  <c r="K17" i="8"/>
  <c r="C19" i="9" l="1"/>
  <c r="D19" i="9"/>
  <c r="B19" i="9"/>
  <c r="E36" i="7" l="1"/>
  <c r="E35" i="7"/>
  <c r="E12" i="7"/>
  <c r="M223" i="6"/>
  <c r="L258" i="6"/>
  <c r="M258" i="6" s="1"/>
  <c r="L257" i="6"/>
  <c r="M257" i="6" s="1"/>
  <c r="M324" i="6"/>
  <c r="L370" i="6"/>
  <c r="M370" i="6" s="1"/>
  <c r="J337" i="6"/>
  <c r="L337" i="6" s="1"/>
  <c r="M337" i="6" s="1"/>
  <c r="J347" i="6"/>
  <c r="L347" i="6" s="1"/>
  <c r="M347" i="6" s="1"/>
  <c r="J346" i="6"/>
  <c r="L346" i="6" s="1"/>
  <c r="M346" i="6" s="1"/>
  <c r="J345" i="6"/>
  <c r="L345" i="6" s="1"/>
  <c r="M345" i="6" s="1"/>
  <c r="J344" i="6"/>
  <c r="J343" i="6"/>
  <c r="J367" i="6"/>
  <c r="L367" i="6" s="1"/>
  <c r="M367" i="6" s="1"/>
  <c r="J366" i="6"/>
  <c r="L366" i="6" s="1"/>
  <c r="M366" i="6" s="1"/>
  <c r="J365" i="6"/>
  <c r="L365" i="6" s="1"/>
  <c r="M365" i="6" s="1"/>
  <c r="J364" i="6"/>
  <c r="L364" i="6" s="1"/>
  <c r="M364" i="6" s="1"/>
  <c r="J363" i="6"/>
  <c r="L363" i="6" s="1"/>
  <c r="M363" i="6" s="1"/>
  <c r="J362" i="6"/>
  <c r="L362" i="6" s="1"/>
  <c r="M362" i="6" s="1"/>
  <c r="J361" i="6"/>
  <c r="L361" i="6" s="1"/>
  <c r="M361" i="6" s="1"/>
  <c r="J360" i="6"/>
  <c r="L360" i="6" s="1"/>
  <c r="M360" i="6" s="1"/>
  <c r="J359" i="6"/>
  <c r="L359" i="6" s="1"/>
  <c r="M359" i="6" s="1"/>
  <c r="J358" i="6"/>
  <c r="L358" i="6" s="1"/>
  <c r="M358" i="6" s="1"/>
  <c r="J357" i="6"/>
  <c r="L357" i="6" s="1"/>
  <c r="M357" i="6" s="1"/>
  <c r="J356" i="6"/>
  <c r="L356" i="6" s="1"/>
  <c r="M356" i="6" s="1"/>
  <c r="J355" i="6"/>
  <c r="L355" i="6" s="1"/>
  <c r="M355" i="6" s="1"/>
  <c r="J354" i="6"/>
  <c r="L354" i="6" s="1"/>
  <c r="M354" i="6" s="1"/>
  <c r="J353" i="6"/>
  <c r="G442" i="6" s="1"/>
  <c r="J352" i="6"/>
  <c r="J351" i="6"/>
  <c r="J350" i="6"/>
  <c r="K341" i="6"/>
  <c r="G341" i="6"/>
  <c r="J340" i="6"/>
  <c r="L340" i="6" s="1"/>
  <c r="M340" i="6" s="1"/>
  <c r="J326" i="6" l="1"/>
  <c r="L326" i="6" s="1"/>
  <c r="M326" i="6" s="1"/>
  <c r="J327" i="6"/>
  <c r="L327" i="6" s="1"/>
  <c r="M327" i="6" s="1"/>
  <c r="J325" i="6"/>
  <c r="J322" i="6"/>
  <c r="J314" i="6"/>
  <c r="J313" i="6"/>
  <c r="L313" i="6" s="1"/>
  <c r="M313" i="6" s="1"/>
  <c r="J312" i="6"/>
  <c r="L312" i="6" s="1"/>
  <c r="M312" i="6" s="1"/>
  <c r="J311" i="6"/>
  <c r="L311" i="6" s="1"/>
  <c r="M311" i="6" s="1"/>
  <c r="J310" i="6"/>
  <c r="L310" i="6" s="1"/>
  <c r="M310" i="6" s="1"/>
  <c r="J309" i="6"/>
  <c r="L309" i="6" s="1"/>
  <c r="M309" i="6" s="1"/>
  <c r="J308" i="6"/>
  <c r="L308" i="6" s="1"/>
  <c r="M308" i="6" s="1"/>
  <c r="J307" i="6"/>
  <c r="J306" i="6"/>
  <c r="L306" i="6" s="1"/>
  <c r="M306" i="6" s="1"/>
  <c r="J305" i="6"/>
  <c r="L305" i="6" s="1"/>
  <c r="M305" i="6" s="1"/>
  <c r="J304" i="6"/>
  <c r="L304" i="6" s="1"/>
  <c r="M304" i="6" s="1"/>
  <c r="J303" i="6"/>
  <c r="L303" i="6" s="1"/>
  <c r="M303" i="6" s="1"/>
  <c r="J300" i="6"/>
  <c r="L300" i="6" s="1"/>
  <c r="M300" i="6" s="1"/>
  <c r="J299" i="6"/>
  <c r="J298" i="6"/>
  <c r="J297" i="6"/>
  <c r="L297" i="6" s="1"/>
  <c r="M297" i="6" s="1"/>
  <c r="J296" i="6"/>
  <c r="J295" i="6"/>
  <c r="L295" i="6" s="1"/>
  <c r="M295" i="6" s="1"/>
  <c r="J294" i="6"/>
  <c r="L294" i="6" s="1"/>
  <c r="M294" i="6" s="1"/>
  <c r="J293" i="6"/>
  <c r="J292" i="6"/>
  <c r="L292" i="6" s="1"/>
  <c r="M292" i="6" s="1"/>
  <c r="J291" i="6"/>
  <c r="L291" i="6" s="1"/>
  <c r="M291" i="6" s="1"/>
  <c r="J290" i="6"/>
  <c r="J289" i="6"/>
  <c r="L289" i="6" s="1"/>
  <c r="M289" i="6" s="1"/>
  <c r="J275" i="6"/>
  <c r="J274" i="6"/>
  <c r="L274" i="6" s="1"/>
  <c r="M274" i="6" s="1"/>
  <c r="J273" i="6"/>
  <c r="L273" i="6" s="1"/>
  <c r="M273" i="6" s="1"/>
  <c r="J272" i="6"/>
  <c r="J271" i="6"/>
  <c r="J270" i="6"/>
  <c r="L270" i="6" s="1"/>
  <c r="M270" i="6" s="1"/>
  <c r="J269" i="6"/>
  <c r="L269" i="6" s="1"/>
  <c r="M269" i="6" s="1"/>
  <c r="J268" i="6"/>
  <c r="L268" i="6" s="1"/>
  <c r="M268" i="6" s="1"/>
  <c r="J267" i="6"/>
  <c r="J266" i="6"/>
  <c r="L266" i="6" s="1"/>
  <c r="M266" i="6" s="1"/>
  <c r="J265" i="6"/>
  <c r="J224" i="6"/>
  <c r="J223" i="6"/>
  <c r="J222" i="6"/>
  <c r="J221" i="6"/>
  <c r="J220" i="6"/>
  <c r="J217" i="6"/>
  <c r="J216" i="6"/>
  <c r="L216" i="6" s="1"/>
  <c r="M216" i="6" s="1"/>
  <c r="J215" i="6"/>
  <c r="L215" i="6" s="1"/>
  <c r="M215" i="6" s="1"/>
  <c r="J214" i="6"/>
  <c r="L214" i="6" s="1"/>
  <c r="M214" i="6" s="1"/>
  <c r="J286" i="6"/>
  <c r="L286" i="6" s="1"/>
  <c r="M286" i="6" s="1"/>
  <c r="J285" i="6"/>
  <c r="L285" i="6" s="1"/>
  <c r="M285" i="6" s="1"/>
  <c r="J284" i="6"/>
  <c r="J283" i="6"/>
  <c r="L283" i="6" s="1"/>
  <c r="M283" i="6" s="1"/>
  <c r="J282" i="6"/>
  <c r="L282" i="6" s="1"/>
  <c r="M282" i="6" s="1"/>
  <c r="J281" i="6"/>
  <c r="L281" i="6" s="1"/>
  <c r="M281" i="6" s="1"/>
  <c r="J280" i="6"/>
  <c r="J279" i="6"/>
  <c r="J278" i="6"/>
  <c r="G218" i="6"/>
  <c r="K323" i="6"/>
  <c r="K321" i="6"/>
  <c r="G323" i="6"/>
  <c r="G321" i="6"/>
  <c r="G139" i="6"/>
  <c r="K85" i="6"/>
  <c r="J98" i="6"/>
  <c r="L98" i="6" s="1"/>
  <c r="J76" i="6"/>
  <c r="L76" i="6" s="1"/>
  <c r="M76" i="6" s="1"/>
  <c r="J84" i="6"/>
  <c r="L84" i="6" s="1"/>
  <c r="M84" i="6" s="1"/>
  <c r="J80" i="6"/>
  <c r="L80" i="6" s="1"/>
  <c r="M80" i="6" s="1"/>
  <c r="K211" i="6"/>
  <c r="H504" i="6" s="1"/>
  <c r="K218" i="6"/>
  <c r="H493" i="6" s="1"/>
  <c r="K175" i="6"/>
  <c r="K173" i="6"/>
  <c r="K170" i="6"/>
  <c r="K167" i="6"/>
  <c r="K151" i="6"/>
  <c r="K147" i="6"/>
  <c r="K144" i="6"/>
  <c r="K141" i="6"/>
  <c r="K139" i="6"/>
  <c r="K136" i="6"/>
  <c r="K131" i="6"/>
  <c r="K114" i="6"/>
  <c r="K109" i="6"/>
  <c r="K104" i="6"/>
  <c r="K102" i="6"/>
  <c r="K99" i="6"/>
  <c r="K97" i="6"/>
  <c r="K95" i="6"/>
  <c r="K61" i="6"/>
  <c r="K59" i="6"/>
  <c r="K55" i="6"/>
  <c r="K52" i="6"/>
  <c r="K40" i="6"/>
  <c r="K37" i="6"/>
  <c r="K28" i="6"/>
  <c r="K18" i="6"/>
  <c r="K15" i="6"/>
  <c r="K193" i="6"/>
  <c r="F43" i="7" s="1"/>
  <c r="K189" i="6"/>
  <c r="F42" i="7" s="1"/>
  <c r="K184" i="6"/>
  <c r="F41" i="7" s="1"/>
  <c r="K181" i="6"/>
  <c r="F40" i="7" s="1"/>
  <c r="K179" i="6"/>
  <c r="F39" i="7" s="1"/>
  <c r="J23" i="6"/>
  <c r="L23" i="6" s="1"/>
  <c r="M23" i="6" s="1"/>
  <c r="L196" i="6"/>
  <c r="M196" i="6" s="1"/>
  <c r="L195" i="6"/>
  <c r="M195" i="6" s="1"/>
  <c r="L194" i="6"/>
  <c r="M194" i="6" s="1"/>
  <c r="L192" i="6"/>
  <c r="M192" i="6" s="1"/>
  <c r="L191" i="6"/>
  <c r="M191" i="6" s="1"/>
  <c r="L190" i="6"/>
  <c r="M190" i="6" s="1"/>
  <c r="L188" i="6"/>
  <c r="M188" i="6" s="1"/>
  <c r="L187" i="6"/>
  <c r="M187" i="6" s="1"/>
  <c r="L186" i="6"/>
  <c r="M186" i="6" s="1"/>
  <c r="L185" i="6"/>
  <c r="M185" i="6" s="1"/>
  <c r="L183" i="6"/>
  <c r="M183" i="6" s="1"/>
  <c r="L182" i="6"/>
  <c r="M182" i="6" s="1"/>
  <c r="J179" i="6"/>
  <c r="D39" i="7" s="1"/>
  <c r="J176" i="6"/>
  <c r="J174" i="6"/>
  <c r="J173" i="6" s="1"/>
  <c r="J172" i="6"/>
  <c r="L172" i="6" s="1"/>
  <c r="M172" i="6" s="1"/>
  <c r="J171" i="6"/>
  <c r="L171" i="6" s="1"/>
  <c r="M171" i="6" s="1"/>
  <c r="J169" i="6"/>
  <c r="L169" i="6" s="1"/>
  <c r="M169" i="6" s="1"/>
  <c r="J168" i="6"/>
  <c r="J166" i="6"/>
  <c r="L166" i="6" s="1"/>
  <c r="M166" i="6" s="1"/>
  <c r="J165" i="6"/>
  <c r="L165" i="6" s="1"/>
  <c r="M165" i="6" s="1"/>
  <c r="J164" i="6"/>
  <c r="L164" i="6" s="1"/>
  <c r="M164" i="6" s="1"/>
  <c r="J163" i="6"/>
  <c r="L163" i="6" s="1"/>
  <c r="M163" i="6" s="1"/>
  <c r="J162" i="6"/>
  <c r="L162" i="6" s="1"/>
  <c r="M162" i="6" s="1"/>
  <c r="J161" i="6"/>
  <c r="L161" i="6" s="1"/>
  <c r="M161" i="6" s="1"/>
  <c r="J160" i="6"/>
  <c r="L160" i="6" s="1"/>
  <c r="M160" i="6" s="1"/>
  <c r="J159" i="6"/>
  <c r="L159" i="6" s="1"/>
  <c r="M159" i="6" s="1"/>
  <c r="J158" i="6"/>
  <c r="L158" i="6" s="1"/>
  <c r="M158" i="6" s="1"/>
  <c r="J157" i="6"/>
  <c r="L157" i="6" s="1"/>
  <c r="M157" i="6" s="1"/>
  <c r="J156" i="6"/>
  <c r="L156" i="6" s="1"/>
  <c r="M156" i="6" s="1"/>
  <c r="J155" i="6"/>
  <c r="L155" i="6" s="1"/>
  <c r="M155" i="6" s="1"/>
  <c r="J154" i="6"/>
  <c r="L154" i="6" s="1"/>
  <c r="M154" i="6" s="1"/>
  <c r="J153" i="6"/>
  <c r="L153" i="6" s="1"/>
  <c r="M153" i="6" s="1"/>
  <c r="J152" i="6"/>
  <c r="L152" i="6" s="1"/>
  <c r="M152" i="6" s="1"/>
  <c r="J150" i="6"/>
  <c r="L150" i="6" s="1"/>
  <c r="M150" i="6" s="1"/>
  <c r="J149" i="6"/>
  <c r="L149" i="6" s="1"/>
  <c r="M149" i="6" s="1"/>
  <c r="J148" i="6"/>
  <c r="L148" i="6" s="1"/>
  <c r="M148" i="6" s="1"/>
  <c r="J145" i="6"/>
  <c r="J144" i="6" s="1"/>
  <c r="J143" i="6"/>
  <c r="L143" i="6" s="1"/>
  <c r="M143" i="6" s="1"/>
  <c r="J142" i="6"/>
  <c r="L142" i="6" s="1"/>
  <c r="M142" i="6" s="1"/>
  <c r="J140" i="6"/>
  <c r="J139" i="6" s="1"/>
  <c r="J138" i="6"/>
  <c r="L138" i="6" s="1"/>
  <c r="M138" i="6" s="1"/>
  <c r="J137" i="6"/>
  <c r="J135" i="6"/>
  <c r="L135" i="6" s="1"/>
  <c r="M135" i="6" s="1"/>
  <c r="J134" i="6"/>
  <c r="L134" i="6" s="1"/>
  <c r="M134" i="6" s="1"/>
  <c r="J133" i="6"/>
  <c r="L133" i="6" s="1"/>
  <c r="M133" i="6" s="1"/>
  <c r="J132" i="6"/>
  <c r="L132" i="6" s="1"/>
  <c r="M132" i="6" s="1"/>
  <c r="J115" i="6"/>
  <c r="L115" i="6" s="1"/>
  <c r="M115" i="6" s="1"/>
  <c r="L113" i="6"/>
  <c r="M113" i="6" s="1"/>
  <c r="L112" i="6"/>
  <c r="M112" i="6" s="1"/>
  <c r="L111" i="6"/>
  <c r="M111" i="6" s="1"/>
  <c r="G518" i="6"/>
  <c r="J106" i="6"/>
  <c r="L106" i="6" s="1"/>
  <c r="M106" i="6" s="1"/>
  <c r="J105" i="6"/>
  <c r="J96" i="6"/>
  <c r="J95" i="6" s="1"/>
  <c r="J94" i="6"/>
  <c r="L94" i="6" s="1"/>
  <c r="M94" i="6" s="1"/>
  <c r="J93" i="6"/>
  <c r="L93" i="6" s="1"/>
  <c r="M93" i="6" s="1"/>
  <c r="J92" i="6"/>
  <c r="L92" i="6" s="1"/>
  <c r="M92" i="6" s="1"/>
  <c r="J91" i="6"/>
  <c r="L91" i="6" s="1"/>
  <c r="M91" i="6" s="1"/>
  <c r="J90" i="6"/>
  <c r="L90" i="6" s="1"/>
  <c r="M90" i="6" s="1"/>
  <c r="J89" i="6"/>
  <c r="L89" i="6" s="1"/>
  <c r="M89" i="6" s="1"/>
  <c r="J88" i="6"/>
  <c r="L88" i="6" s="1"/>
  <c r="M88" i="6" s="1"/>
  <c r="J87" i="6"/>
  <c r="L87" i="6" s="1"/>
  <c r="M87" i="6" s="1"/>
  <c r="J86" i="6"/>
  <c r="L86" i="6" s="1"/>
  <c r="M86" i="6" s="1"/>
  <c r="J130" i="6"/>
  <c r="L130" i="6" s="1"/>
  <c r="M130" i="6" s="1"/>
  <c r="J129" i="6"/>
  <c r="L129" i="6" s="1"/>
  <c r="M129" i="6" s="1"/>
  <c r="J128" i="6"/>
  <c r="L128" i="6" s="1"/>
  <c r="M128" i="6" s="1"/>
  <c r="J127" i="6"/>
  <c r="L127" i="6" s="1"/>
  <c r="M127" i="6" s="1"/>
  <c r="J126" i="6"/>
  <c r="L126" i="6" s="1"/>
  <c r="M126" i="6" s="1"/>
  <c r="J125" i="6"/>
  <c r="L125" i="6" s="1"/>
  <c r="M125" i="6" s="1"/>
  <c r="J124" i="6"/>
  <c r="L124" i="6" s="1"/>
  <c r="M124" i="6" s="1"/>
  <c r="J123" i="6"/>
  <c r="L123" i="6" s="1"/>
  <c r="M123" i="6" s="1"/>
  <c r="J122" i="6"/>
  <c r="L122" i="6" s="1"/>
  <c r="M122" i="6" s="1"/>
  <c r="J121" i="6"/>
  <c r="L121" i="6" s="1"/>
  <c r="M121" i="6" s="1"/>
  <c r="J120" i="6"/>
  <c r="L120" i="6" s="1"/>
  <c r="M120" i="6" s="1"/>
  <c r="J119" i="6"/>
  <c r="L119" i="6" s="1"/>
  <c r="M119" i="6" s="1"/>
  <c r="J118" i="6"/>
  <c r="L118" i="6" s="1"/>
  <c r="M118" i="6" s="1"/>
  <c r="J117" i="6"/>
  <c r="L117" i="6" s="1"/>
  <c r="M117" i="6" s="1"/>
  <c r="J116" i="6"/>
  <c r="L116" i="6" s="1"/>
  <c r="M116" i="6" s="1"/>
  <c r="G114" i="6"/>
  <c r="J53" i="6"/>
  <c r="J52" i="6" s="1"/>
  <c r="J51" i="6"/>
  <c r="L51" i="6" s="1"/>
  <c r="M51" i="6" s="1"/>
  <c r="J50" i="6"/>
  <c r="L50" i="6" s="1"/>
  <c r="M50" i="6" s="1"/>
  <c r="J48" i="6"/>
  <c r="J47" i="6"/>
  <c r="J46" i="6"/>
  <c r="J45" i="6"/>
  <c r="J44" i="6"/>
  <c r="J43" i="6"/>
  <c r="J42" i="6"/>
  <c r="J41" i="6"/>
  <c r="J36" i="6"/>
  <c r="L36" i="6" s="1"/>
  <c r="M36" i="6" s="1"/>
  <c r="J35" i="6"/>
  <c r="L35" i="6" s="1"/>
  <c r="M35" i="6" s="1"/>
  <c r="J34" i="6"/>
  <c r="L34" i="6" s="1"/>
  <c r="M34" i="6" s="1"/>
  <c r="J33" i="6"/>
  <c r="L33" i="6" s="1"/>
  <c r="M33" i="6" s="1"/>
  <c r="J32" i="6"/>
  <c r="L32" i="6" s="1"/>
  <c r="M32" i="6" s="1"/>
  <c r="J31" i="6"/>
  <c r="L31" i="6" s="1"/>
  <c r="M31" i="6" s="1"/>
  <c r="J30" i="6"/>
  <c r="L30" i="6" s="1"/>
  <c r="M30" i="6" s="1"/>
  <c r="J29" i="6"/>
  <c r="J17" i="6"/>
  <c r="L17" i="6" s="1"/>
  <c r="M17" i="6" s="1"/>
  <c r="J16" i="6"/>
  <c r="J22" i="6"/>
  <c r="L22" i="6" s="1"/>
  <c r="M22" i="6" s="1"/>
  <c r="J20" i="6"/>
  <c r="L20" i="6" s="1"/>
  <c r="M20" i="6" s="1"/>
  <c r="J19" i="6"/>
  <c r="L19" i="6" s="1"/>
  <c r="M19" i="6" s="1"/>
  <c r="J21" i="6"/>
  <c r="L21" i="6" s="1"/>
  <c r="M21" i="6" s="1"/>
  <c r="J24" i="6"/>
  <c r="L24" i="6" s="1"/>
  <c r="M24" i="6" s="1"/>
  <c r="J25" i="6"/>
  <c r="L25" i="6" s="1"/>
  <c r="M25" i="6" s="1"/>
  <c r="J26" i="6"/>
  <c r="L26" i="6" s="1"/>
  <c r="M26" i="6" s="1"/>
  <c r="J27" i="6"/>
  <c r="L27" i="6" s="1"/>
  <c r="M27" i="6" s="1"/>
  <c r="G175" i="6"/>
  <c r="G193" i="6"/>
  <c r="G189" i="6"/>
  <c r="G184" i="6"/>
  <c r="G181" i="6"/>
  <c r="G179" i="6"/>
  <c r="G173" i="6"/>
  <c r="G170" i="6"/>
  <c r="G167" i="6"/>
  <c r="G151" i="6"/>
  <c r="G147" i="6"/>
  <c r="G144" i="6"/>
  <c r="G141" i="6"/>
  <c r="G136" i="6"/>
  <c r="G131" i="6"/>
  <c r="G109" i="6"/>
  <c r="G104" i="6"/>
  <c r="G102" i="6"/>
  <c r="G97" i="6"/>
  <c r="G95" i="6"/>
  <c r="G85" i="6"/>
  <c r="G61" i="6"/>
  <c r="G59" i="6"/>
  <c r="G55" i="6"/>
  <c r="G52" i="6"/>
  <c r="G40" i="6"/>
  <c r="G37" i="6"/>
  <c r="G28" i="6"/>
  <c r="G18" i="6"/>
  <c r="G15" i="6"/>
  <c r="C25" i="8" l="1"/>
  <c r="M25" i="8" s="1"/>
  <c r="L25" i="8" s="1"/>
  <c r="L325" i="6"/>
  <c r="M325" i="6" s="1"/>
  <c r="L47" i="6"/>
  <c r="M47" i="6" s="1"/>
  <c r="G467" i="6"/>
  <c r="L48" i="6"/>
  <c r="M48" i="6" s="1"/>
  <c r="G468" i="6"/>
  <c r="L46" i="6"/>
  <c r="M46" i="6" s="1"/>
  <c r="G470" i="6"/>
  <c r="L41" i="6"/>
  <c r="M41" i="6" s="1"/>
  <c r="G465" i="6"/>
  <c r="L43" i="6"/>
  <c r="M43" i="6" s="1"/>
  <c r="G463" i="6"/>
  <c r="L42" i="6"/>
  <c r="M42" i="6" s="1"/>
  <c r="G466" i="6"/>
  <c r="L44" i="6"/>
  <c r="M44" i="6" s="1"/>
  <c r="G464" i="6"/>
  <c r="L45" i="6"/>
  <c r="M45" i="6" s="1"/>
  <c r="G469" i="6"/>
  <c r="L271" i="6"/>
  <c r="M271" i="6" s="1"/>
  <c r="L284" i="6"/>
  <c r="M284" i="6" s="1"/>
  <c r="J175" i="6"/>
  <c r="C36" i="7"/>
  <c r="L272" i="6"/>
  <c r="M272" i="6" s="1"/>
  <c r="L293" i="6"/>
  <c r="M293" i="6" s="1"/>
  <c r="L280" i="6"/>
  <c r="M280" i="6" s="1"/>
  <c r="L265" i="6"/>
  <c r="M265" i="6" s="1"/>
  <c r="F25" i="9"/>
  <c r="L307" i="6"/>
  <c r="M307" i="6" s="1"/>
  <c r="L290" i="6"/>
  <c r="M290" i="6" s="1"/>
  <c r="L298" i="6"/>
  <c r="M298" i="6" s="1"/>
  <c r="L299" i="6"/>
  <c r="M299" i="6" s="1"/>
  <c r="L29" i="6"/>
  <c r="M29" i="6" s="1"/>
  <c r="C12" i="7"/>
  <c r="L168" i="6"/>
  <c r="M168" i="6" s="1"/>
  <c r="C35" i="7"/>
  <c r="L267" i="6"/>
  <c r="M267" i="6" s="1"/>
  <c r="L275" i="6"/>
  <c r="M275" i="6" s="1"/>
  <c r="L296" i="6"/>
  <c r="M296" i="6" s="1"/>
  <c r="J321" i="6"/>
  <c r="L322" i="6"/>
  <c r="M322" i="6" s="1"/>
  <c r="G320" i="6"/>
  <c r="K320" i="6"/>
  <c r="K210" i="6"/>
  <c r="J323" i="6"/>
  <c r="J15" i="6"/>
  <c r="M98" i="6"/>
  <c r="L97" i="6"/>
  <c r="L18" i="6"/>
  <c r="L147" i="6"/>
  <c r="L181" i="6"/>
  <c r="L85" i="6"/>
  <c r="L114" i="6"/>
  <c r="L151" i="6"/>
  <c r="L184" i="6"/>
  <c r="L131" i="6"/>
  <c r="L189" i="6"/>
  <c r="L170" i="6"/>
  <c r="L141" i="6"/>
  <c r="L53" i="6"/>
  <c r="J104" i="6"/>
  <c r="L105" i="6"/>
  <c r="L174" i="6"/>
  <c r="L145" i="6"/>
  <c r="L96" i="6"/>
  <c r="J136" i="6"/>
  <c r="L137" i="6"/>
  <c r="J109" i="6"/>
  <c r="L110" i="6"/>
  <c r="J170" i="6"/>
  <c r="L176" i="6"/>
  <c r="L140" i="6"/>
  <c r="J147" i="6"/>
  <c r="L180" i="6"/>
  <c r="J141" i="6"/>
  <c r="J18" i="6"/>
  <c r="K54" i="6"/>
  <c r="J189" i="6"/>
  <c r="D42" i="7" s="1"/>
  <c r="K200" i="6"/>
  <c r="J184" i="6"/>
  <c r="D41" i="7" s="1"/>
  <c r="J167" i="6"/>
  <c r="J151" i="6"/>
  <c r="J131" i="6"/>
  <c r="J114" i="6"/>
  <c r="J85" i="6"/>
  <c r="J28" i="6"/>
  <c r="K146" i="6"/>
  <c r="J181" i="6"/>
  <c r="D40" i="7" s="1"/>
  <c r="G200" i="6"/>
  <c r="G108" i="6"/>
  <c r="G14" i="6"/>
  <c r="L28" i="6" l="1"/>
  <c r="J320" i="6"/>
  <c r="L320" i="6" s="1"/>
  <c r="L167" i="6"/>
  <c r="J146" i="6"/>
  <c r="M105" i="6"/>
  <c r="L104" i="6"/>
  <c r="M110" i="6"/>
  <c r="L109" i="6"/>
  <c r="M53" i="6"/>
  <c r="L52" i="6"/>
  <c r="M174" i="6"/>
  <c r="L173" i="6"/>
  <c r="M137" i="6"/>
  <c r="L136" i="6"/>
  <c r="M180" i="6"/>
  <c r="L179" i="6"/>
  <c r="M176" i="6"/>
  <c r="L175" i="6"/>
  <c r="M96" i="6"/>
  <c r="L95" i="6"/>
  <c r="M140" i="6"/>
  <c r="L139" i="6"/>
  <c r="M145" i="6"/>
  <c r="L144" i="6"/>
  <c r="L146" i="6" l="1"/>
  <c r="L108" i="6"/>
  <c r="L177" i="6" l="1"/>
  <c r="H374" i="6" l="1"/>
  <c r="I374" i="6" l="1"/>
  <c r="G29" i="9" l="1"/>
  <c r="E22" i="7" l="1"/>
  <c r="H197" i="6" l="1"/>
  <c r="H516" i="6" l="1"/>
  <c r="H452" i="6"/>
  <c r="H506" i="6" l="1"/>
  <c r="G505" i="6" s="1"/>
  <c r="I505" i="6" s="1"/>
  <c r="J505" i="6" s="1"/>
  <c r="H507" i="6" l="1"/>
  <c r="H433" i="6"/>
  <c r="H403" i="6"/>
  <c r="H421" i="6" s="1"/>
  <c r="H402" i="6"/>
  <c r="H411" i="6" s="1"/>
  <c r="H443" i="6" l="1"/>
  <c r="J332" i="6"/>
  <c r="H410" i="6" l="1"/>
  <c r="H420" i="6" s="1"/>
  <c r="H432" i="6" s="1"/>
  <c r="H449" i="6" s="1"/>
  <c r="H462" i="6" s="1"/>
  <c r="H481" i="6" s="1"/>
  <c r="H492" i="6" s="1"/>
  <c r="L385" i="6"/>
  <c r="L394" i="6" s="1"/>
  <c r="I385" i="6"/>
  <c r="I394" i="6" s="1"/>
  <c r="K384" i="6"/>
  <c r="J394" i="6" s="1"/>
  <c r="G16" i="9"/>
  <c r="G28" i="9"/>
  <c r="G27" i="9"/>
  <c r="G22" i="9"/>
  <c r="K21" i="8"/>
  <c r="E22" i="8"/>
  <c r="F14" i="9"/>
  <c r="G14" i="9" s="1"/>
  <c r="C24" i="8"/>
  <c r="F18" i="8"/>
  <c r="F10" i="8"/>
  <c r="F7" i="8"/>
  <c r="E39" i="7"/>
  <c r="E34" i="7"/>
  <c r="E33" i="7"/>
  <c r="E32" i="7"/>
  <c r="E30" i="7"/>
  <c r="E29" i="7"/>
  <c r="E28" i="7"/>
  <c r="E27" i="7"/>
  <c r="E26" i="7"/>
  <c r="E21" i="7"/>
  <c r="E20" i="7"/>
  <c r="E19" i="7"/>
  <c r="E18" i="7"/>
  <c r="E17" i="7"/>
  <c r="E16" i="7"/>
  <c r="E14" i="7"/>
  <c r="E11" i="7"/>
  <c r="E10" i="7"/>
  <c r="E9" i="7"/>
  <c r="M24" i="8" l="1"/>
  <c r="M23" i="8" s="1"/>
  <c r="F24" i="9"/>
  <c r="G24" i="9" s="1"/>
  <c r="G13" i="9"/>
  <c r="E15" i="9"/>
  <c r="E19" i="9" s="1"/>
  <c r="F23" i="8"/>
  <c r="D23" i="8"/>
  <c r="F31" i="7"/>
  <c r="H440" i="6"/>
  <c r="H515" i="6"/>
  <c r="H503" i="6"/>
  <c r="G12" i="9" l="1"/>
  <c r="J369" i="6" l="1"/>
  <c r="L369" i="6" s="1"/>
  <c r="J372" i="6"/>
  <c r="L372" i="6" s="1"/>
  <c r="J371" i="6"/>
  <c r="L371" i="6" s="1"/>
  <c r="L353" i="6"/>
  <c r="L352" i="6"/>
  <c r="L351" i="6"/>
  <c r="L350" i="6"/>
  <c r="J349" i="6"/>
  <c r="L344" i="6"/>
  <c r="L343" i="6"/>
  <c r="J342" i="6"/>
  <c r="J341" i="6" s="1"/>
  <c r="J339" i="6"/>
  <c r="L339" i="6" s="1"/>
  <c r="J338" i="6"/>
  <c r="L338" i="6" s="1"/>
  <c r="J336" i="6"/>
  <c r="G482" i="6" s="1"/>
  <c r="J335" i="6"/>
  <c r="J277" i="6"/>
  <c r="J264" i="6"/>
  <c r="J263" i="6"/>
  <c r="J317" i="6"/>
  <c r="J302" i="6"/>
  <c r="J288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L217" i="6"/>
  <c r="J213" i="6"/>
  <c r="J212" i="6"/>
  <c r="L224" i="6"/>
  <c r="L221" i="6"/>
  <c r="L220" i="6"/>
  <c r="J219" i="6"/>
  <c r="J209" i="6"/>
  <c r="J208" i="6"/>
  <c r="C33" i="7"/>
  <c r="C29" i="7"/>
  <c r="C22" i="7"/>
  <c r="J101" i="6"/>
  <c r="J83" i="6"/>
  <c r="L83" i="6" s="1"/>
  <c r="M83" i="6" s="1"/>
  <c r="J82" i="6"/>
  <c r="L82" i="6" s="1"/>
  <c r="M82" i="6" s="1"/>
  <c r="J81" i="6"/>
  <c r="J79" i="6"/>
  <c r="L79" i="6" s="1"/>
  <c r="M79" i="6" s="1"/>
  <c r="J78" i="6"/>
  <c r="L78" i="6" s="1"/>
  <c r="M78" i="6" s="1"/>
  <c r="J77" i="6"/>
  <c r="L77" i="6" s="1"/>
  <c r="M77" i="6" s="1"/>
  <c r="J75" i="6"/>
  <c r="L75" i="6" s="1"/>
  <c r="M75" i="6" s="1"/>
  <c r="J74" i="6"/>
  <c r="L74" i="6" s="1"/>
  <c r="M74" i="6" s="1"/>
  <c r="J73" i="6"/>
  <c r="L73" i="6" s="1"/>
  <c r="M73" i="6" s="1"/>
  <c r="J72" i="6"/>
  <c r="L72" i="6" s="1"/>
  <c r="M72" i="6" s="1"/>
  <c r="J71" i="6"/>
  <c r="L71" i="6" s="1"/>
  <c r="M71" i="6" s="1"/>
  <c r="J70" i="6"/>
  <c r="L70" i="6" s="1"/>
  <c r="M70" i="6" s="1"/>
  <c r="J69" i="6"/>
  <c r="L69" i="6" s="1"/>
  <c r="M69" i="6" s="1"/>
  <c r="J68" i="6"/>
  <c r="L68" i="6" s="1"/>
  <c r="M68" i="6" s="1"/>
  <c r="J67" i="6"/>
  <c r="L67" i="6" s="1"/>
  <c r="M67" i="6" s="1"/>
  <c r="J66" i="6"/>
  <c r="L66" i="6" s="1"/>
  <c r="M66" i="6" s="1"/>
  <c r="J65" i="6"/>
  <c r="L65" i="6" s="1"/>
  <c r="M65" i="6" s="1"/>
  <c r="J64" i="6"/>
  <c r="L64" i="6" s="1"/>
  <c r="M64" i="6" s="1"/>
  <c r="J63" i="6"/>
  <c r="L63" i="6" s="1"/>
  <c r="M63" i="6" s="1"/>
  <c r="J62" i="6"/>
  <c r="L62" i="6" s="1"/>
  <c r="J60" i="6"/>
  <c r="J58" i="6"/>
  <c r="L58" i="6" s="1"/>
  <c r="M58" i="6" s="1"/>
  <c r="J57" i="6"/>
  <c r="L57" i="6" s="1"/>
  <c r="M57" i="6" s="1"/>
  <c r="J56" i="6"/>
  <c r="L56" i="6" s="1"/>
  <c r="I468" i="6"/>
  <c r="J468" i="6" s="1"/>
  <c r="J39" i="6"/>
  <c r="J38" i="6"/>
  <c r="J12" i="6"/>
  <c r="G378" i="6" s="1"/>
  <c r="G385" i="6" s="1"/>
  <c r="G394" i="6" s="1"/>
  <c r="G401" i="6" s="1"/>
  <c r="G410" i="6" s="1"/>
  <c r="G420" i="6" s="1"/>
  <c r="G432" i="6" s="1"/>
  <c r="G449" i="6" l="1"/>
  <c r="G462" i="6" s="1"/>
  <c r="G481" i="6" s="1"/>
  <c r="G492" i="6" s="1"/>
  <c r="G440" i="6"/>
  <c r="L81" i="6"/>
  <c r="M81" i="6" s="1"/>
  <c r="G441" i="6"/>
  <c r="L302" i="6"/>
  <c r="M302" i="6" s="1"/>
  <c r="D18" i="8"/>
  <c r="J301" i="6"/>
  <c r="J211" i="6"/>
  <c r="J218" i="6"/>
  <c r="M56" i="6"/>
  <c r="L55" i="6"/>
  <c r="M62" i="6"/>
  <c r="J102" i="6"/>
  <c r="L103" i="6"/>
  <c r="L101" i="6"/>
  <c r="J59" i="6"/>
  <c r="L60" i="6"/>
  <c r="J37" i="6"/>
  <c r="L38" i="6"/>
  <c r="I466" i="6"/>
  <c r="J466" i="6" s="1"/>
  <c r="L39" i="6"/>
  <c r="M39" i="6" s="1"/>
  <c r="J61" i="6"/>
  <c r="L212" i="6"/>
  <c r="J55" i="6"/>
  <c r="L219" i="6"/>
  <c r="I465" i="6"/>
  <c r="J465" i="6" s="1"/>
  <c r="C19" i="7"/>
  <c r="G452" i="6"/>
  <c r="C16" i="7"/>
  <c r="L263" i="6"/>
  <c r="C34" i="7"/>
  <c r="L278" i="6"/>
  <c r="L279" i="6"/>
  <c r="L234" i="6"/>
  <c r="L213" i="6"/>
  <c r="L243" i="6"/>
  <c r="L251" i="6"/>
  <c r="L236" i="6"/>
  <c r="L244" i="6"/>
  <c r="L252" i="6"/>
  <c r="L237" i="6"/>
  <c r="L245" i="6"/>
  <c r="L253" i="6"/>
  <c r="L238" i="6"/>
  <c r="L246" i="6"/>
  <c r="L254" i="6"/>
  <c r="D31" i="9"/>
  <c r="L231" i="6"/>
  <c r="L239" i="6"/>
  <c r="L247" i="6"/>
  <c r="L240" i="6"/>
  <c r="L256" i="6"/>
  <c r="L241" i="6"/>
  <c r="L235" i="6"/>
  <c r="L336" i="6"/>
  <c r="G516" i="6"/>
  <c r="I469" i="6"/>
  <c r="J469" i="6" s="1"/>
  <c r="I470" i="6"/>
  <c r="J470" i="6" s="1"/>
  <c r="I442" i="6"/>
  <c r="J442" i="6" s="1"/>
  <c r="L250" i="6"/>
  <c r="L248" i="6"/>
  <c r="L249" i="6"/>
  <c r="G433" i="6"/>
  <c r="L208" i="6"/>
  <c r="G402" i="6"/>
  <c r="G411" i="6" s="1"/>
  <c r="L209" i="6"/>
  <c r="G403" i="6"/>
  <c r="C13" i="8"/>
  <c r="J262" i="6"/>
  <c r="J229" i="6"/>
  <c r="J287" i="6"/>
  <c r="J348" i="6"/>
  <c r="J97" i="6"/>
  <c r="C10" i="7"/>
  <c r="C32" i="7"/>
  <c r="C14" i="8"/>
  <c r="L255" i="6"/>
  <c r="J207" i="6"/>
  <c r="L222" i="6"/>
  <c r="L232" i="6"/>
  <c r="D10" i="8"/>
  <c r="C15" i="8"/>
  <c r="L233" i="6"/>
  <c r="L342" i="6"/>
  <c r="C11" i="7"/>
  <c r="C14" i="7"/>
  <c r="L242" i="6"/>
  <c r="L264" i="6"/>
  <c r="C12" i="8"/>
  <c r="L317" i="6"/>
  <c r="L288" i="6"/>
  <c r="L335" i="6"/>
  <c r="L349" i="6"/>
  <c r="C27" i="7"/>
  <c r="D7" i="8"/>
  <c r="L277" i="6"/>
  <c r="J334" i="6"/>
  <c r="L230" i="6"/>
  <c r="L16" i="6"/>
  <c r="L15" i="6" s="1"/>
  <c r="L49" i="6"/>
  <c r="G493" i="6" l="1"/>
  <c r="L218" i="6"/>
  <c r="G515" i="6"/>
  <c r="G503" i="6"/>
  <c r="G422" i="6"/>
  <c r="G504" i="6"/>
  <c r="G450" i="6"/>
  <c r="L61" i="6"/>
  <c r="M18" i="8"/>
  <c r="D31" i="7"/>
  <c r="H31" i="7" s="1"/>
  <c r="J368" i="6"/>
  <c r="J227" i="6"/>
  <c r="J210" i="6"/>
  <c r="J225" i="6" s="1"/>
  <c r="M101" i="6"/>
  <c r="M103" i="6"/>
  <c r="L102" i="6"/>
  <c r="M38" i="6"/>
  <c r="L37" i="6"/>
  <c r="M49" i="6"/>
  <c r="L40" i="6"/>
  <c r="M60" i="6"/>
  <c r="L59" i="6"/>
  <c r="G506" i="6"/>
  <c r="I506" i="6" s="1"/>
  <c r="J506" i="6" s="1"/>
  <c r="J40" i="6"/>
  <c r="C13" i="7" s="1"/>
  <c r="I464" i="6"/>
  <c r="J464" i="6" s="1"/>
  <c r="C9" i="7"/>
  <c r="I403" i="6"/>
  <c r="J403" i="6" s="1"/>
  <c r="G421" i="6"/>
  <c r="I482" i="6"/>
  <c r="J482" i="6" s="1"/>
  <c r="J228" i="6"/>
  <c r="G412" i="6"/>
  <c r="G413" i="6" s="1"/>
  <c r="I441" i="6"/>
  <c r="I443" i="6" s="1"/>
  <c r="J443" i="6" s="1"/>
  <c r="G443" i="6"/>
  <c r="G434" i="6"/>
  <c r="G435" i="6" s="1"/>
  <c r="J261" i="6"/>
  <c r="I516" i="6"/>
  <c r="J516" i="6" s="1"/>
  <c r="I433" i="6"/>
  <c r="D8" i="8"/>
  <c r="J226" i="6" l="1"/>
  <c r="J14" i="6"/>
  <c r="G507" i="6"/>
  <c r="I507" i="6" s="1"/>
  <c r="J507" i="6" s="1"/>
  <c r="G495" i="6"/>
  <c r="L14" i="6"/>
  <c r="C26" i="7"/>
  <c r="I421" i="6"/>
  <c r="J421" i="6" s="1"/>
  <c r="G423" i="6"/>
  <c r="J441" i="6"/>
  <c r="J259" i="6"/>
  <c r="G414" i="6"/>
  <c r="J433" i="6"/>
  <c r="G484" i="6"/>
  <c r="J373" i="6"/>
  <c r="J374" i="6" s="1"/>
  <c r="G508" i="6" l="1"/>
  <c r="G509" i="6" s="1"/>
  <c r="G424" i="6"/>
  <c r="G471" i="6"/>
  <c r="J260" i="6"/>
  <c r="G388" i="6"/>
  <c r="F21" i="8" l="1"/>
  <c r="G17" i="9"/>
  <c r="A3" i="9"/>
  <c r="B4" i="10" s="1"/>
  <c r="A2" i="9"/>
  <c r="B3" i="10" s="1"/>
  <c r="K20" i="8"/>
  <c r="M15" i="8"/>
  <c r="L15" i="8" s="1"/>
  <c r="M13" i="8"/>
  <c r="L13" i="8" s="1"/>
  <c r="K19" i="8"/>
  <c r="M8" i="8"/>
  <c r="L8" i="8" s="1"/>
  <c r="A4" i="8"/>
  <c r="A4" i="9" s="1"/>
  <c r="K26" i="8" l="1"/>
  <c r="F20" i="8"/>
  <c r="D8" i="7"/>
  <c r="H8" i="7" s="1"/>
  <c r="F15" i="7"/>
  <c r="I15" i="7" s="1"/>
  <c r="I31" i="7"/>
  <c r="F61" i="10"/>
  <c r="F63" i="10" s="1"/>
  <c r="M10" i="8"/>
  <c r="L10" i="8" s="1"/>
  <c r="C31" i="9"/>
  <c r="B31" i="9"/>
  <c r="D9" i="8"/>
  <c r="D11" i="8" s="1"/>
  <c r="M12" i="8"/>
  <c r="L12" i="8" s="1"/>
  <c r="M14" i="8"/>
  <c r="L14" i="8" s="1"/>
  <c r="M7" i="8"/>
  <c r="D62" i="10"/>
  <c r="H11" i="8" l="1"/>
  <c r="M9" i="8"/>
  <c r="L7" i="8"/>
  <c r="M11" i="8" l="1"/>
  <c r="L9" i="8"/>
  <c r="L11" i="8" l="1"/>
  <c r="L18" i="8" l="1"/>
  <c r="M338" i="6" l="1"/>
  <c r="M247" i="6" l="1"/>
  <c r="M353" i="6" l="1"/>
  <c r="M352" i="6"/>
  <c r="G287" i="6"/>
  <c r="K287" i="6"/>
  <c r="M236" i="6" l="1"/>
  <c r="K14" i="6"/>
  <c r="K107" i="6" l="1"/>
  <c r="H472" i="6" s="1"/>
  <c r="I467" i="6"/>
  <c r="J467" i="6" s="1"/>
  <c r="E13" i="7"/>
  <c r="H453" i="6"/>
  <c r="G451" i="6"/>
  <c r="I452" i="6"/>
  <c r="J452" i="6" s="1"/>
  <c r="F8" i="7" l="1"/>
  <c r="G453" i="6"/>
  <c r="I451" i="6"/>
  <c r="J451" i="6" s="1"/>
  <c r="G517" i="6"/>
  <c r="H519" i="6"/>
  <c r="H520" i="6" s="1"/>
  <c r="H521" i="6" s="1"/>
  <c r="I518" i="6"/>
  <c r="J518" i="6" s="1"/>
  <c r="F23" i="7" l="1"/>
  <c r="I8" i="7"/>
  <c r="I517" i="6"/>
  <c r="J517" i="6" s="1"/>
  <c r="G519" i="6"/>
  <c r="I453" i="6"/>
  <c r="J453" i="6" s="1"/>
  <c r="G454" i="6"/>
  <c r="G455" i="6" s="1"/>
  <c r="I519" i="6" l="1"/>
  <c r="J519" i="6" s="1"/>
  <c r="G520" i="6"/>
  <c r="I520" i="6" l="1"/>
  <c r="G521" i="6"/>
  <c r="I521" i="6" s="1"/>
  <c r="M253" i="6" l="1"/>
  <c r="K301" i="6" l="1"/>
  <c r="K262" i="6"/>
  <c r="K276" i="6"/>
  <c r="K108" i="6" l="1"/>
  <c r="H386" i="6" s="1"/>
  <c r="K177" i="6" l="1"/>
  <c r="H484" i="6"/>
  <c r="K201" i="6" l="1"/>
  <c r="K202" i="6" s="1"/>
  <c r="H387" i="6"/>
  <c r="F25" i="7"/>
  <c r="I25" i="7" s="1"/>
  <c r="G483" i="6"/>
  <c r="H485" i="6"/>
  <c r="H486" i="6" s="1"/>
  <c r="H487" i="6" s="1"/>
  <c r="I484" i="6"/>
  <c r="J484" i="6" s="1"/>
  <c r="M255" i="6"/>
  <c r="F37" i="7" l="1"/>
  <c r="G485" i="6"/>
  <c r="I483" i="6"/>
  <c r="J483" i="6" s="1"/>
  <c r="F44" i="7" l="1"/>
  <c r="F45" i="7" s="1"/>
  <c r="F46" i="7" s="1"/>
  <c r="H495" i="6"/>
  <c r="I463" i="6"/>
  <c r="I485" i="6"/>
  <c r="J485" i="6" s="1"/>
  <c r="G486" i="6"/>
  <c r="J463" i="6" l="1"/>
  <c r="I486" i="6"/>
  <c r="G487" i="6"/>
  <c r="I487" i="6" s="1"/>
  <c r="H496" i="6"/>
  <c r="G494" i="6"/>
  <c r="I495" i="6"/>
  <c r="J495" i="6" s="1"/>
  <c r="H471" i="6" l="1"/>
  <c r="H473" i="6" s="1"/>
  <c r="G496" i="6"/>
  <c r="I494" i="6"/>
  <c r="J494" i="6" s="1"/>
  <c r="I496" i="6" l="1"/>
  <c r="J496" i="6" s="1"/>
  <c r="G497" i="6"/>
  <c r="I471" i="6"/>
  <c r="J471" i="6" s="1"/>
  <c r="M372" i="6"/>
  <c r="K348" i="6"/>
  <c r="K334" i="6"/>
  <c r="K229" i="6"/>
  <c r="L229" i="6" s="1"/>
  <c r="H422" i="6"/>
  <c r="K331" i="6"/>
  <c r="K368" i="6" l="1"/>
  <c r="L368" i="6" s="1"/>
  <c r="H423" i="6"/>
  <c r="I422" i="6"/>
  <c r="J422" i="6" s="1"/>
  <c r="H434" i="6"/>
  <c r="H435" i="6" s="1"/>
  <c r="G498" i="6"/>
  <c r="M369" i="6"/>
  <c r="M212" i="6"/>
  <c r="M335" i="6"/>
  <c r="M317" i="6"/>
  <c r="M351" i="6"/>
  <c r="M219" i="6"/>
  <c r="G262" i="6"/>
  <c r="M349" i="6"/>
  <c r="M222" i="6"/>
  <c r="M350" i="6"/>
  <c r="M344" i="6"/>
  <c r="M234" i="6"/>
  <c r="M243" i="6"/>
  <c r="M250" i="6"/>
  <c r="M245" i="6"/>
  <c r="M252" i="6"/>
  <c r="M246" i="6"/>
  <c r="M254" i="6"/>
  <c r="M256" i="6"/>
  <c r="M248" i="6"/>
  <c r="M233" i="6"/>
  <c r="M371" i="6"/>
  <c r="M40" i="6"/>
  <c r="M242" i="6"/>
  <c r="M249" i="6"/>
  <c r="M235" i="6"/>
  <c r="M264" i="6"/>
  <c r="M237" i="6"/>
  <c r="M238" i="6"/>
  <c r="M239" i="6"/>
  <c r="M278" i="6"/>
  <c r="M232" i="6"/>
  <c r="M240" i="6"/>
  <c r="M231" i="6"/>
  <c r="M55" i="6"/>
  <c r="M59" i="6"/>
  <c r="M244" i="6"/>
  <c r="M251" i="6"/>
  <c r="M217" i="6"/>
  <c r="M336" i="6"/>
  <c r="M213" i="6"/>
  <c r="G211" i="6"/>
  <c r="G228" i="6" s="1"/>
  <c r="M343" i="6"/>
  <c r="L287" i="6"/>
  <c r="G334" i="6"/>
  <c r="G207" i="6"/>
  <c r="K8" i="6" s="1"/>
  <c r="G348" i="6"/>
  <c r="G368" i="6" l="1"/>
  <c r="H424" i="6"/>
  <c r="I424" i="6" s="1"/>
  <c r="I423" i="6"/>
  <c r="J423" i="6" s="1"/>
  <c r="I434" i="6"/>
  <c r="J434" i="6" s="1"/>
  <c r="K373" i="6"/>
  <c r="M320" i="6"/>
  <c r="G205" i="6"/>
  <c r="K205" i="6" s="1"/>
  <c r="L348" i="6"/>
  <c r="M348" i="6" s="1"/>
  <c r="M288" i="6"/>
  <c r="M277" i="6"/>
  <c r="M263" i="6"/>
  <c r="L262" i="6"/>
  <c r="M95" i="6"/>
  <c r="M28" i="6"/>
  <c r="M16" i="6"/>
  <c r="M37" i="6"/>
  <c r="L211" i="6"/>
  <c r="M211" i="6" s="1"/>
  <c r="M339" i="6"/>
  <c r="L334" i="6"/>
  <c r="L373" i="6" l="1"/>
  <c r="K374" i="6"/>
  <c r="I435" i="6"/>
  <c r="J435" i="6" s="1"/>
  <c r="K332" i="6"/>
  <c r="J205" i="6"/>
  <c r="M114" i="6"/>
  <c r="M15" i="6"/>
  <c r="M334" i="6"/>
  <c r="M14" i="6" l="1"/>
  <c r="M52" i="6"/>
  <c r="M18" i="6"/>
  <c r="G276" i="6" l="1"/>
  <c r="M279" i="6" l="1"/>
  <c r="M262" i="6"/>
  <c r="M241" i="6" l="1"/>
  <c r="M287" i="6" l="1"/>
  <c r="G210" i="6" l="1"/>
  <c r="G225" i="6" s="1"/>
  <c r="G226" i="6" s="1"/>
  <c r="M342" i="6"/>
  <c r="L341" i="6"/>
  <c r="G373" i="6" l="1"/>
  <c r="G227" i="6"/>
  <c r="M341" i="6"/>
  <c r="M368" i="6"/>
  <c r="M374" i="6" l="1"/>
  <c r="G374" i="6"/>
  <c r="M373" i="6"/>
  <c r="M97" i="6"/>
  <c r="M230" i="6"/>
  <c r="G229" i="6"/>
  <c r="G259" i="6" l="1"/>
  <c r="G261" i="6"/>
  <c r="M229" i="6"/>
  <c r="G260" i="6" l="1"/>
  <c r="G301" i="6" l="1"/>
  <c r="G315" i="6" s="1"/>
  <c r="L8" i="6" l="1"/>
  <c r="N12" i="6"/>
  <c r="G316" i="6"/>
  <c r="G318" i="6"/>
  <c r="N340" i="6" l="1"/>
  <c r="N215" i="6"/>
  <c r="N271" i="6"/>
  <c r="N269" i="6"/>
  <c r="N281" i="6"/>
  <c r="N291" i="6"/>
  <c r="N289" i="6"/>
  <c r="N312" i="6"/>
  <c r="N367" i="6"/>
  <c r="N354" i="6"/>
  <c r="N359" i="6"/>
  <c r="N223" i="6"/>
  <c r="N310" i="6"/>
  <c r="N322" i="6"/>
  <c r="N275" i="6"/>
  <c r="N273" i="6"/>
  <c r="N283" i="6"/>
  <c r="N300" i="6"/>
  <c r="N303" i="6"/>
  <c r="N358" i="6"/>
  <c r="N356" i="6"/>
  <c r="N293" i="6"/>
  <c r="N347" i="6"/>
  <c r="N258" i="6"/>
  <c r="N296" i="6"/>
  <c r="N305" i="6"/>
  <c r="N324" i="6"/>
  <c r="N362" i="6"/>
  <c r="N360" i="6"/>
  <c r="N361" i="6"/>
  <c r="N345" i="6"/>
  <c r="N267" i="6"/>
  <c r="N285" i="6"/>
  <c r="N295" i="6"/>
  <c r="N308" i="6"/>
  <c r="N327" i="6"/>
  <c r="N266" i="6"/>
  <c r="N286" i="6"/>
  <c r="N298" i="6"/>
  <c r="N292" i="6"/>
  <c r="N309" i="6"/>
  <c r="N307" i="6"/>
  <c r="N326" i="6"/>
  <c r="N364" i="6"/>
  <c r="N216" i="6"/>
  <c r="N214" i="6"/>
  <c r="N270" i="6"/>
  <c r="N268" i="6"/>
  <c r="N284" i="6"/>
  <c r="N282" i="6"/>
  <c r="N294" i="6"/>
  <c r="N313" i="6"/>
  <c r="N311" i="6"/>
  <c r="N302" i="6"/>
  <c r="N366" i="6"/>
  <c r="N357" i="6"/>
  <c r="N355" i="6"/>
  <c r="N337" i="6"/>
  <c r="N346" i="6"/>
  <c r="N274" i="6"/>
  <c r="N272" i="6"/>
  <c r="N280" i="6"/>
  <c r="N290" i="6"/>
  <c r="N370" i="6"/>
  <c r="N265" i="6"/>
  <c r="N365" i="6"/>
  <c r="N257" i="6"/>
  <c r="N299" i="6"/>
  <c r="N297" i="6"/>
  <c r="N306" i="6"/>
  <c r="N304" i="6"/>
  <c r="N325" i="6"/>
  <c r="N363" i="6"/>
  <c r="N199" i="6"/>
  <c r="N198" i="6"/>
  <c r="N183" i="6"/>
  <c r="N197" i="6"/>
  <c r="N195" i="6"/>
  <c r="N186" i="6"/>
  <c r="N172" i="6"/>
  <c r="N169" i="6"/>
  <c r="N188" i="6"/>
  <c r="N163" i="6"/>
  <c r="N161" i="6"/>
  <c r="N159" i="6"/>
  <c r="N157" i="6"/>
  <c r="N155" i="6"/>
  <c r="N153" i="6"/>
  <c r="N150" i="6"/>
  <c r="N148" i="6"/>
  <c r="N143" i="6"/>
  <c r="N140" i="6"/>
  <c r="N137" i="6"/>
  <c r="N134" i="6"/>
  <c r="N132" i="6"/>
  <c r="N129" i="6"/>
  <c r="N127" i="6"/>
  <c r="N125" i="6"/>
  <c r="N123" i="6"/>
  <c r="N121" i="6"/>
  <c r="N119" i="6"/>
  <c r="N117" i="6"/>
  <c r="N115" i="6"/>
  <c r="N112" i="6"/>
  <c r="N110" i="6"/>
  <c r="N105" i="6"/>
  <c r="N101" i="6"/>
  <c r="N98" i="6"/>
  <c r="N94" i="6"/>
  <c r="N92" i="6"/>
  <c r="N90" i="6"/>
  <c r="N88" i="6"/>
  <c r="N86" i="6"/>
  <c r="N83" i="6"/>
  <c r="N81" i="6"/>
  <c r="N79" i="6"/>
  <c r="N77" i="6"/>
  <c r="N75" i="6"/>
  <c r="N73" i="6"/>
  <c r="N71" i="6"/>
  <c r="N69" i="6"/>
  <c r="N67" i="6"/>
  <c r="N65" i="6"/>
  <c r="N63" i="6"/>
  <c r="N60" i="6"/>
  <c r="N57" i="6"/>
  <c r="N53" i="6"/>
  <c r="N50" i="6"/>
  <c r="N48" i="6"/>
  <c r="N46" i="6"/>
  <c r="N44" i="6"/>
  <c r="N42" i="6"/>
  <c r="N39" i="6"/>
  <c r="N36" i="6"/>
  <c r="N34" i="6"/>
  <c r="N32" i="6"/>
  <c r="N30" i="6"/>
  <c r="N27" i="6"/>
  <c r="N25" i="6"/>
  <c r="N23" i="6"/>
  <c r="N21" i="6"/>
  <c r="N19" i="6"/>
  <c r="N191" i="6"/>
  <c r="N182" i="6"/>
  <c r="N176" i="6"/>
  <c r="N165" i="6"/>
  <c r="N194" i="6"/>
  <c r="N168" i="6"/>
  <c r="N196" i="6"/>
  <c r="N187" i="6"/>
  <c r="N185" i="6"/>
  <c r="N171" i="6"/>
  <c r="N174" i="6"/>
  <c r="N162" i="6"/>
  <c r="N160" i="6"/>
  <c r="N158" i="6"/>
  <c r="N156" i="6"/>
  <c r="N154" i="6"/>
  <c r="N152" i="6"/>
  <c r="N149" i="6"/>
  <c r="N145" i="6"/>
  <c r="N142" i="6"/>
  <c r="N180" i="6"/>
  <c r="N35" i="6"/>
  <c r="N17" i="6"/>
  <c r="N31" i="6"/>
  <c r="N138" i="6"/>
  <c r="N76" i="6"/>
  <c r="N135" i="6"/>
  <c r="N128" i="6"/>
  <c r="N106" i="6"/>
  <c r="N96" i="6"/>
  <c r="N89" i="6"/>
  <c r="N82" i="6"/>
  <c r="N74" i="6"/>
  <c r="N66" i="6"/>
  <c r="N56" i="6"/>
  <c r="N47" i="6"/>
  <c r="N29" i="6"/>
  <c r="N124" i="6"/>
  <c r="N24" i="6"/>
  <c r="N122" i="6"/>
  <c r="N116" i="6"/>
  <c r="N41" i="6"/>
  <c r="N22" i="6"/>
  <c r="N111" i="6"/>
  <c r="N68" i="6"/>
  <c r="N192" i="6"/>
  <c r="N80" i="6"/>
  <c r="N72" i="6"/>
  <c r="N64" i="6"/>
  <c r="N33" i="6"/>
  <c r="N130" i="6"/>
  <c r="N58" i="6"/>
  <c r="N190" i="6"/>
  <c r="N166" i="6"/>
  <c r="N133" i="6"/>
  <c r="N126" i="6"/>
  <c r="N120" i="6"/>
  <c r="N113" i="6"/>
  <c r="N103" i="6"/>
  <c r="N93" i="6"/>
  <c r="N87" i="6"/>
  <c r="N51" i="6"/>
  <c r="N45" i="6"/>
  <c r="N26" i="6"/>
  <c r="N49" i="6"/>
  <c r="N84" i="6"/>
  <c r="N164" i="6"/>
  <c r="N78" i="6"/>
  <c r="N70" i="6"/>
  <c r="N62" i="6"/>
  <c r="N38" i="6"/>
  <c r="N20" i="6"/>
  <c r="N91" i="6"/>
  <c r="N43" i="6"/>
  <c r="N118" i="6"/>
  <c r="N338" i="6"/>
  <c r="N318" i="6"/>
  <c r="N108" i="6"/>
  <c r="N104" i="6"/>
  <c r="N52" i="6"/>
  <c r="N109" i="6"/>
  <c r="N236" i="6"/>
  <c r="N352" i="6"/>
  <c r="N353" i="6"/>
  <c r="N61" i="6"/>
  <c r="N85" i="6"/>
  <c r="N28" i="6"/>
  <c r="N349" i="6"/>
  <c r="N248" i="6"/>
  <c r="N221" i="6"/>
  <c r="N40" i="6"/>
  <c r="N233" i="6"/>
  <c r="N222" i="6"/>
  <c r="N264" i="6"/>
  <c r="N219" i="6"/>
  <c r="N205" i="6"/>
  <c r="N277" i="6"/>
  <c r="N242" i="6"/>
  <c r="N244" i="6"/>
  <c r="N212" i="6"/>
  <c r="N344" i="6"/>
  <c r="N253" i="6"/>
  <c r="N249" i="6"/>
  <c r="N238" i="6"/>
  <c r="N336" i="6"/>
  <c r="N317" i="6"/>
  <c r="N16" i="6"/>
  <c r="N278" i="6"/>
  <c r="N350" i="6"/>
  <c r="N59" i="6"/>
  <c r="N314" i="6"/>
  <c r="N251" i="6"/>
  <c r="N339" i="6"/>
  <c r="N245" i="6"/>
  <c r="N213" i="6"/>
  <c r="N231" i="6"/>
  <c r="O12" i="6"/>
  <c r="N209" i="6"/>
  <c r="N55" i="6"/>
  <c r="N237" i="6"/>
  <c r="N247" i="6"/>
  <c r="N351" i="6"/>
  <c r="N254" i="6"/>
  <c r="N217" i="6"/>
  <c r="N234" i="6"/>
  <c r="N250" i="6"/>
  <c r="N343" i="6"/>
  <c r="N335" i="6"/>
  <c r="N95" i="6"/>
  <c r="N246" i="6"/>
  <c r="N263" i="6"/>
  <c r="N252" i="6"/>
  <c r="N288" i="6"/>
  <c r="N224" i="6"/>
  <c r="N239" i="6"/>
  <c r="N255" i="6"/>
  <c r="N332" i="6"/>
  <c r="N37" i="6"/>
  <c r="N372" i="6"/>
  <c r="N232" i="6"/>
  <c r="N256" i="6"/>
  <c r="N240" i="6"/>
  <c r="N208" i="6"/>
  <c r="N243" i="6"/>
  <c r="N235" i="6"/>
  <c r="N279" i="6"/>
  <c r="N241" i="6"/>
  <c r="N342" i="6"/>
  <c r="N220" i="6"/>
  <c r="N97" i="6"/>
  <c r="N230" i="6"/>
  <c r="G319" i="6"/>
  <c r="G328" i="6"/>
  <c r="O367" i="6" l="1"/>
  <c r="P367" i="6" s="1"/>
  <c r="R367" i="6" s="1"/>
  <c r="O365" i="6"/>
  <c r="P365" i="6" s="1"/>
  <c r="R365" i="6" s="1"/>
  <c r="O363" i="6"/>
  <c r="P363" i="6" s="1"/>
  <c r="R363" i="6" s="1"/>
  <c r="O362" i="6"/>
  <c r="P362" i="6" s="1"/>
  <c r="R362" i="6" s="1"/>
  <c r="O360" i="6"/>
  <c r="P360" i="6" s="1"/>
  <c r="R360" i="6" s="1"/>
  <c r="O357" i="6"/>
  <c r="P357" i="6" s="1"/>
  <c r="R357" i="6" s="1"/>
  <c r="O355" i="6"/>
  <c r="P355" i="6" s="1"/>
  <c r="R355" i="6" s="1"/>
  <c r="O342" i="6"/>
  <c r="P342" i="6" s="1"/>
  <c r="R342" i="6" s="1"/>
  <c r="O337" i="6"/>
  <c r="P337" i="6" s="1"/>
  <c r="R337" i="6" s="1"/>
  <c r="O335" i="6"/>
  <c r="P335" i="6" s="1"/>
  <c r="R335" i="6" s="1"/>
  <c r="O313" i="6"/>
  <c r="P313" i="6" s="1"/>
  <c r="R313" i="6" s="1"/>
  <c r="O310" i="6"/>
  <c r="P310" i="6" s="1"/>
  <c r="R310" i="6" s="1"/>
  <c r="O307" i="6"/>
  <c r="P307" i="6" s="1"/>
  <c r="R307" i="6" s="1"/>
  <c r="O304" i="6"/>
  <c r="P304" i="6" s="1"/>
  <c r="R304" i="6" s="1"/>
  <c r="O300" i="6"/>
  <c r="P300" i="6" s="1"/>
  <c r="R300" i="6" s="1"/>
  <c r="O297" i="6"/>
  <c r="P297" i="6" s="1"/>
  <c r="R297" i="6" s="1"/>
  <c r="O294" i="6"/>
  <c r="P294" i="6" s="1"/>
  <c r="R294" i="6" s="1"/>
  <c r="O291" i="6"/>
  <c r="P291" i="6" s="1"/>
  <c r="R291" i="6" s="1"/>
  <c r="O288" i="6"/>
  <c r="P288" i="6" s="1"/>
  <c r="R288" i="6" s="1"/>
  <c r="O284" i="6"/>
  <c r="P284" i="6" s="1"/>
  <c r="R284" i="6" s="1"/>
  <c r="O281" i="6"/>
  <c r="P281" i="6" s="1"/>
  <c r="R281" i="6" s="1"/>
  <c r="O278" i="6"/>
  <c r="P278" i="6" s="1"/>
  <c r="R278" i="6" s="1"/>
  <c r="O274" i="6"/>
  <c r="P274" i="6" s="1"/>
  <c r="R274" i="6" s="1"/>
  <c r="O271" i="6"/>
  <c r="P271" i="6" s="1"/>
  <c r="R271" i="6" s="1"/>
  <c r="O268" i="6"/>
  <c r="P268" i="6" s="1"/>
  <c r="R268" i="6" s="1"/>
  <c r="O265" i="6"/>
  <c r="P265" i="6" s="1"/>
  <c r="R265" i="6" s="1"/>
  <c r="O258" i="6"/>
  <c r="P258" i="6" s="1"/>
  <c r="R258" i="6" s="1"/>
  <c r="O255" i="6"/>
  <c r="P255" i="6" s="1"/>
  <c r="R255" i="6" s="1"/>
  <c r="O252" i="6"/>
  <c r="P252" i="6" s="1"/>
  <c r="R252" i="6" s="1"/>
  <c r="O247" i="6"/>
  <c r="P247" i="6" s="1"/>
  <c r="R247" i="6" s="1"/>
  <c r="O244" i="6"/>
  <c r="P244" i="6" s="1"/>
  <c r="R244" i="6" s="1"/>
  <c r="O240" i="6"/>
  <c r="P240" i="6" s="1"/>
  <c r="R240" i="6" s="1"/>
  <c r="O237" i="6"/>
  <c r="P237" i="6" s="1"/>
  <c r="R237" i="6" s="1"/>
  <c r="O234" i="6"/>
  <c r="P234" i="6" s="1"/>
  <c r="R234" i="6" s="1"/>
  <c r="O231" i="6"/>
  <c r="P231" i="6" s="1"/>
  <c r="R231" i="6" s="1"/>
  <c r="O223" i="6"/>
  <c r="P223" i="6" s="1"/>
  <c r="R223" i="6" s="1"/>
  <c r="O217" i="6"/>
  <c r="P217" i="6" s="1"/>
  <c r="R217" i="6" s="1"/>
  <c r="O214" i="6"/>
  <c r="P214" i="6" s="1"/>
  <c r="R214" i="6" s="1"/>
  <c r="O372" i="6"/>
  <c r="P372" i="6" s="1"/>
  <c r="R372" i="6" s="1"/>
  <c r="O366" i="6"/>
  <c r="P366" i="6" s="1"/>
  <c r="R366" i="6" s="1"/>
  <c r="O364" i="6"/>
  <c r="P364" i="6" s="1"/>
  <c r="R364" i="6" s="1"/>
  <c r="O361" i="6"/>
  <c r="P361" i="6" s="1"/>
  <c r="R361" i="6" s="1"/>
  <c r="O358" i="6"/>
  <c r="P358" i="6" s="1"/>
  <c r="R358" i="6" s="1"/>
  <c r="O356" i="6"/>
  <c r="P356" i="6" s="1"/>
  <c r="R356" i="6" s="1"/>
  <c r="O353" i="6"/>
  <c r="P353" i="6" s="1"/>
  <c r="R353" i="6" s="1"/>
  <c r="O340" i="6"/>
  <c r="P340" i="6" s="1"/>
  <c r="O336" i="6"/>
  <c r="P336" i="6" s="1"/>
  <c r="R336" i="6" s="1"/>
  <c r="O322" i="6"/>
  <c r="P322" i="6" s="1"/>
  <c r="R322" i="6" s="1"/>
  <c r="O314" i="6"/>
  <c r="P314" i="6" s="1"/>
  <c r="R314" i="6" s="1"/>
  <c r="O311" i="6"/>
  <c r="P311" i="6" s="1"/>
  <c r="R311" i="6" s="1"/>
  <c r="O308" i="6"/>
  <c r="P308" i="6" s="1"/>
  <c r="R308" i="6" s="1"/>
  <c r="O305" i="6"/>
  <c r="P305" i="6" s="1"/>
  <c r="R305" i="6" s="1"/>
  <c r="O302" i="6"/>
  <c r="P302" i="6" s="1"/>
  <c r="R302" i="6" s="1"/>
  <c r="O298" i="6"/>
  <c r="P298" i="6" s="1"/>
  <c r="R298" i="6" s="1"/>
  <c r="O295" i="6"/>
  <c r="P295" i="6" s="1"/>
  <c r="R295" i="6" s="1"/>
  <c r="O293" i="6"/>
  <c r="P293" i="6" s="1"/>
  <c r="R293" i="6" s="1"/>
  <c r="O290" i="6"/>
  <c r="P290" i="6" s="1"/>
  <c r="R290" i="6" s="1"/>
  <c r="O286" i="6"/>
  <c r="P286" i="6" s="1"/>
  <c r="R286" i="6" s="1"/>
  <c r="O283" i="6"/>
  <c r="P283" i="6" s="1"/>
  <c r="R283" i="6" s="1"/>
  <c r="O280" i="6"/>
  <c r="P280" i="6" s="1"/>
  <c r="R280" i="6" s="1"/>
  <c r="O277" i="6"/>
  <c r="P277" i="6" s="1"/>
  <c r="R277" i="6" s="1"/>
  <c r="O273" i="6"/>
  <c r="P273" i="6" s="1"/>
  <c r="R273" i="6" s="1"/>
  <c r="O270" i="6"/>
  <c r="P270" i="6" s="1"/>
  <c r="R270" i="6" s="1"/>
  <c r="O267" i="6"/>
  <c r="P267" i="6" s="1"/>
  <c r="R267" i="6" s="1"/>
  <c r="O264" i="6"/>
  <c r="P264" i="6" s="1"/>
  <c r="R264" i="6" s="1"/>
  <c r="O256" i="6"/>
  <c r="P256" i="6" s="1"/>
  <c r="R256" i="6" s="1"/>
  <c r="O253" i="6"/>
  <c r="P253" i="6" s="1"/>
  <c r="R253" i="6" s="1"/>
  <c r="O250" i="6"/>
  <c r="P250" i="6" s="1"/>
  <c r="R250" i="6" s="1"/>
  <c r="O248" i="6"/>
  <c r="P248" i="6" s="1"/>
  <c r="R248" i="6" s="1"/>
  <c r="O245" i="6"/>
  <c r="P245" i="6" s="1"/>
  <c r="R245" i="6" s="1"/>
  <c r="O242" i="6"/>
  <c r="P242" i="6" s="1"/>
  <c r="R242" i="6" s="1"/>
  <c r="O239" i="6"/>
  <c r="P239" i="6" s="1"/>
  <c r="R239" i="6" s="1"/>
  <c r="O236" i="6"/>
  <c r="P236" i="6" s="1"/>
  <c r="R236" i="6" s="1"/>
  <c r="O233" i="6"/>
  <c r="P233" i="6" s="1"/>
  <c r="R233" i="6" s="1"/>
  <c r="O230" i="6"/>
  <c r="P230" i="6" s="1"/>
  <c r="R230" i="6" s="1"/>
  <c r="O222" i="6"/>
  <c r="P222" i="6" s="1"/>
  <c r="R222" i="6" s="1"/>
  <c r="O216" i="6"/>
  <c r="P216" i="6" s="1"/>
  <c r="R216" i="6" s="1"/>
  <c r="O370" i="6"/>
  <c r="P370" i="6" s="1"/>
  <c r="R370" i="6" s="1"/>
  <c r="O359" i="6"/>
  <c r="P359" i="6" s="1"/>
  <c r="R359" i="6" s="1"/>
  <c r="O354" i="6"/>
  <c r="P354" i="6" s="1"/>
  <c r="R354" i="6" s="1"/>
  <c r="O338" i="6"/>
  <c r="P338" i="6" s="1"/>
  <c r="O352" i="6"/>
  <c r="P352" i="6" s="1"/>
  <c r="R352" i="6" s="1"/>
  <c r="O351" i="6"/>
  <c r="P351" i="6" s="1"/>
  <c r="R351" i="6" s="1"/>
  <c r="O350" i="6"/>
  <c r="P350" i="6" s="1"/>
  <c r="R350" i="6" s="1"/>
  <c r="O349" i="6"/>
  <c r="P349" i="6" s="1"/>
  <c r="R349" i="6" s="1"/>
  <c r="O347" i="6"/>
  <c r="P347" i="6" s="1"/>
  <c r="R347" i="6" s="1"/>
  <c r="O346" i="6"/>
  <c r="P346" i="6" s="1"/>
  <c r="R346" i="6" s="1"/>
  <c r="O345" i="6"/>
  <c r="P345" i="6" s="1"/>
  <c r="R345" i="6" s="1"/>
  <c r="O344" i="6"/>
  <c r="P344" i="6" s="1"/>
  <c r="R344" i="6" s="1"/>
  <c r="O343" i="6"/>
  <c r="P343" i="6" s="1"/>
  <c r="R343" i="6" s="1"/>
  <c r="O339" i="6"/>
  <c r="P339" i="6" s="1"/>
  <c r="R339" i="6" s="1"/>
  <c r="O317" i="6"/>
  <c r="P317" i="6" s="1"/>
  <c r="R317" i="6" s="1"/>
  <c r="O312" i="6"/>
  <c r="P312" i="6" s="1"/>
  <c r="R312" i="6" s="1"/>
  <c r="O309" i="6"/>
  <c r="P309" i="6" s="1"/>
  <c r="R309" i="6" s="1"/>
  <c r="O306" i="6"/>
  <c r="P306" i="6" s="1"/>
  <c r="R306" i="6" s="1"/>
  <c r="O303" i="6"/>
  <c r="P303" i="6" s="1"/>
  <c r="R303" i="6" s="1"/>
  <c r="O299" i="6"/>
  <c r="P299" i="6" s="1"/>
  <c r="R299" i="6" s="1"/>
  <c r="O296" i="6"/>
  <c r="P296" i="6" s="1"/>
  <c r="R296" i="6" s="1"/>
  <c r="O292" i="6"/>
  <c r="P292" i="6" s="1"/>
  <c r="R292" i="6" s="1"/>
  <c r="O289" i="6"/>
  <c r="P289" i="6" s="1"/>
  <c r="R289" i="6" s="1"/>
  <c r="O285" i="6"/>
  <c r="P285" i="6" s="1"/>
  <c r="R285" i="6" s="1"/>
  <c r="O282" i="6"/>
  <c r="P282" i="6" s="1"/>
  <c r="R282" i="6" s="1"/>
  <c r="O279" i="6"/>
  <c r="P279" i="6" s="1"/>
  <c r="R279" i="6" s="1"/>
  <c r="O275" i="6"/>
  <c r="P275" i="6" s="1"/>
  <c r="R275" i="6" s="1"/>
  <c r="O272" i="6"/>
  <c r="P272" i="6" s="1"/>
  <c r="R272" i="6" s="1"/>
  <c r="O269" i="6"/>
  <c r="P269" i="6" s="1"/>
  <c r="R269" i="6" s="1"/>
  <c r="O266" i="6"/>
  <c r="P266" i="6" s="1"/>
  <c r="R266" i="6" s="1"/>
  <c r="O263" i="6"/>
  <c r="P263" i="6" s="1"/>
  <c r="R263" i="6" s="1"/>
  <c r="O257" i="6"/>
  <c r="P257" i="6" s="1"/>
  <c r="R257" i="6" s="1"/>
  <c r="O254" i="6"/>
  <c r="P254" i="6" s="1"/>
  <c r="R254" i="6" s="1"/>
  <c r="O251" i="6"/>
  <c r="P251" i="6" s="1"/>
  <c r="R251" i="6" s="1"/>
  <c r="O249" i="6"/>
  <c r="P249" i="6" s="1"/>
  <c r="R249" i="6" s="1"/>
  <c r="O246" i="6"/>
  <c r="P246" i="6" s="1"/>
  <c r="R246" i="6" s="1"/>
  <c r="O243" i="6"/>
  <c r="P243" i="6" s="1"/>
  <c r="R243" i="6" s="1"/>
  <c r="O241" i="6"/>
  <c r="P241" i="6" s="1"/>
  <c r="R241" i="6" s="1"/>
  <c r="O238" i="6"/>
  <c r="P238" i="6" s="1"/>
  <c r="R238" i="6" s="1"/>
  <c r="O235" i="6"/>
  <c r="P235" i="6" s="1"/>
  <c r="R235" i="6" s="1"/>
  <c r="O232" i="6"/>
  <c r="P232" i="6" s="1"/>
  <c r="R232" i="6" s="1"/>
  <c r="O224" i="6"/>
  <c r="P224" i="6" s="1"/>
  <c r="R224" i="6" s="1"/>
  <c r="O221" i="6"/>
  <c r="P221" i="6" s="1"/>
  <c r="R221" i="6" s="1"/>
  <c r="O215" i="6"/>
  <c r="P215" i="6" s="1"/>
  <c r="R215" i="6" s="1"/>
  <c r="O327" i="6"/>
  <c r="P327" i="6" s="1"/>
  <c r="R327" i="6" s="1"/>
  <c r="O326" i="6"/>
  <c r="P326" i="6" s="1"/>
  <c r="R326" i="6" s="1"/>
  <c r="O325" i="6"/>
  <c r="P325" i="6" s="1"/>
  <c r="R325" i="6" s="1"/>
  <c r="O324" i="6"/>
  <c r="P324" i="6" s="1"/>
  <c r="R324" i="6" s="1"/>
  <c r="O220" i="6"/>
  <c r="P220" i="6" s="1"/>
  <c r="R220" i="6" s="1"/>
  <c r="O219" i="6"/>
  <c r="P219" i="6" s="1"/>
  <c r="R219" i="6" s="1"/>
  <c r="O213" i="6"/>
  <c r="P213" i="6" s="1"/>
  <c r="R213" i="6" s="1"/>
  <c r="O212" i="6"/>
  <c r="P212" i="6" s="1"/>
  <c r="R212" i="6" s="1"/>
  <c r="O209" i="6"/>
  <c r="P209" i="6" s="1"/>
  <c r="R209" i="6" s="1"/>
  <c r="O208" i="6"/>
  <c r="P208" i="6" s="1"/>
  <c r="R208" i="6" s="1"/>
  <c r="O318" i="6"/>
  <c r="P318" i="6" s="1"/>
  <c r="R318" i="6" s="1"/>
  <c r="O199" i="6"/>
  <c r="P199" i="6" s="1"/>
  <c r="R199" i="6" s="1"/>
  <c r="O198" i="6"/>
  <c r="P198" i="6" s="1"/>
  <c r="R198" i="6" s="1"/>
  <c r="O197" i="6"/>
  <c r="P197" i="6" s="1"/>
  <c r="R197" i="6" s="1"/>
  <c r="O195" i="6"/>
  <c r="P195" i="6" s="1"/>
  <c r="R195" i="6" s="1"/>
  <c r="O186" i="6"/>
  <c r="P186" i="6" s="1"/>
  <c r="R186" i="6" s="1"/>
  <c r="O172" i="6"/>
  <c r="P172" i="6" s="1"/>
  <c r="R172" i="6" s="1"/>
  <c r="O169" i="6"/>
  <c r="P169" i="6" s="1"/>
  <c r="R169" i="6" s="1"/>
  <c r="O188" i="6"/>
  <c r="P188" i="6" s="1"/>
  <c r="R188" i="6" s="1"/>
  <c r="O163" i="6"/>
  <c r="P163" i="6" s="1"/>
  <c r="R163" i="6" s="1"/>
  <c r="O161" i="6"/>
  <c r="P161" i="6" s="1"/>
  <c r="R161" i="6" s="1"/>
  <c r="O159" i="6"/>
  <c r="P159" i="6" s="1"/>
  <c r="R159" i="6" s="1"/>
  <c r="O157" i="6"/>
  <c r="P157" i="6" s="1"/>
  <c r="R157" i="6" s="1"/>
  <c r="O155" i="6"/>
  <c r="P155" i="6" s="1"/>
  <c r="R155" i="6" s="1"/>
  <c r="O153" i="6"/>
  <c r="P153" i="6" s="1"/>
  <c r="R153" i="6" s="1"/>
  <c r="O150" i="6"/>
  <c r="P150" i="6" s="1"/>
  <c r="R150" i="6" s="1"/>
  <c r="O148" i="6"/>
  <c r="P148" i="6" s="1"/>
  <c r="R148" i="6" s="1"/>
  <c r="O143" i="6"/>
  <c r="P143" i="6" s="1"/>
  <c r="R143" i="6" s="1"/>
  <c r="O140" i="6"/>
  <c r="P140" i="6" s="1"/>
  <c r="R140" i="6" s="1"/>
  <c r="O137" i="6"/>
  <c r="P137" i="6" s="1"/>
  <c r="R137" i="6" s="1"/>
  <c r="O134" i="6"/>
  <c r="P134" i="6" s="1"/>
  <c r="R134" i="6" s="1"/>
  <c r="O132" i="6"/>
  <c r="P132" i="6" s="1"/>
  <c r="R132" i="6" s="1"/>
  <c r="O129" i="6"/>
  <c r="P129" i="6" s="1"/>
  <c r="R129" i="6" s="1"/>
  <c r="O127" i="6"/>
  <c r="P127" i="6" s="1"/>
  <c r="R127" i="6" s="1"/>
  <c r="O125" i="6"/>
  <c r="P125" i="6" s="1"/>
  <c r="R125" i="6" s="1"/>
  <c r="O123" i="6"/>
  <c r="P123" i="6" s="1"/>
  <c r="R123" i="6" s="1"/>
  <c r="O121" i="6"/>
  <c r="P121" i="6" s="1"/>
  <c r="R121" i="6" s="1"/>
  <c r="O119" i="6"/>
  <c r="P119" i="6" s="1"/>
  <c r="R119" i="6" s="1"/>
  <c r="O117" i="6"/>
  <c r="P117" i="6" s="1"/>
  <c r="R117" i="6" s="1"/>
  <c r="O115" i="6"/>
  <c r="P115" i="6" s="1"/>
  <c r="R115" i="6" s="1"/>
  <c r="O112" i="6"/>
  <c r="P112" i="6" s="1"/>
  <c r="R112" i="6" s="1"/>
  <c r="O110" i="6"/>
  <c r="P110" i="6" s="1"/>
  <c r="R110" i="6" s="1"/>
  <c r="O105" i="6"/>
  <c r="P105" i="6" s="1"/>
  <c r="R105" i="6" s="1"/>
  <c r="O101" i="6"/>
  <c r="P101" i="6" s="1"/>
  <c r="R101" i="6" s="1"/>
  <c r="O98" i="6"/>
  <c r="P98" i="6" s="1"/>
  <c r="R98" i="6" s="1"/>
  <c r="O94" i="6"/>
  <c r="P94" i="6" s="1"/>
  <c r="R94" i="6" s="1"/>
  <c r="O92" i="6"/>
  <c r="P92" i="6" s="1"/>
  <c r="R92" i="6" s="1"/>
  <c r="O90" i="6"/>
  <c r="P90" i="6" s="1"/>
  <c r="R90" i="6" s="1"/>
  <c r="O88" i="6"/>
  <c r="P88" i="6" s="1"/>
  <c r="R88" i="6" s="1"/>
  <c r="O86" i="6"/>
  <c r="P86" i="6" s="1"/>
  <c r="R86" i="6" s="1"/>
  <c r="O83" i="6"/>
  <c r="P83" i="6" s="1"/>
  <c r="R83" i="6" s="1"/>
  <c r="O81" i="6"/>
  <c r="P81" i="6" s="1"/>
  <c r="R81" i="6" s="1"/>
  <c r="O79" i="6"/>
  <c r="P79" i="6" s="1"/>
  <c r="R79" i="6" s="1"/>
  <c r="O77" i="6"/>
  <c r="P77" i="6" s="1"/>
  <c r="R77" i="6" s="1"/>
  <c r="O75" i="6"/>
  <c r="P75" i="6" s="1"/>
  <c r="R75" i="6" s="1"/>
  <c r="O73" i="6"/>
  <c r="P73" i="6" s="1"/>
  <c r="R73" i="6" s="1"/>
  <c r="O71" i="6"/>
  <c r="P71" i="6" s="1"/>
  <c r="R71" i="6" s="1"/>
  <c r="O69" i="6"/>
  <c r="P69" i="6" s="1"/>
  <c r="R69" i="6" s="1"/>
  <c r="O67" i="6"/>
  <c r="P67" i="6" s="1"/>
  <c r="R67" i="6" s="1"/>
  <c r="O65" i="6"/>
  <c r="P65" i="6" s="1"/>
  <c r="R65" i="6" s="1"/>
  <c r="O63" i="6"/>
  <c r="P63" i="6" s="1"/>
  <c r="R63" i="6" s="1"/>
  <c r="O60" i="6"/>
  <c r="P60" i="6" s="1"/>
  <c r="R60" i="6" s="1"/>
  <c r="O57" i="6"/>
  <c r="P57" i="6" s="1"/>
  <c r="R57" i="6" s="1"/>
  <c r="O53" i="6"/>
  <c r="P53" i="6" s="1"/>
  <c r="R53" i="6" s="1"/>
  <c r="O50" i="6"/>
  <c r="P50" i="6" s="1"/>
  <c r="R50" i="6" s="1"/>
  <c r="O48" i="6"/>
  <c r="P48" i="6" s="1"/>
  <c r="R48" i="6" s="1"/>
  <c r="O46" i="6"/>
  <c r="P46" i="6" s="1"/>
  <c r="R46" i="6" s="1"/>
  <c r="O44" i="6"/>
  <c r="P44" i="6" s="1"/>
  <c r="R44" i="6" s="1"/>
  <c r="O42" i="6"/>
  <c r="P42" i="6" s="1"/>
  <c r="R42" i="6" s="1"/>
  <c r="O39" i="6"/>
  <c r="P39" i="6" s="1"/>
  <c r="R39" i="6" s="1"/>
  <c r="O36" i="6"/>
  <c r="P36" i="6" s="1"/>
  <c r="R36" i="6" s="1"/>
  <c r="O34" i="6"/>
  <c r="P34" i="6" s="1"/>
  <c r="R34" i="6" s="1"/>
  <c r="O32" i="6"/>
  <c r="P32" i="6" s="1"/>
  <c r="R32" i="6" s="1"/>
  <c r="O30" i="6"/>
  <c r="P30" i="6" s="1"/>
  <c r="R30" i="6" s="1"/>
  <c r="O27" i="6"/>
  <c r="P27" i="6" s="1"/>
  <c r="R27" i="6" s="1"/>
  <c r="O25" i="6"/>
  <c r="P25" i="6" s="1"/>
  <c r="R25" i="6" s="1"/>
  <c r="O23" i="6"/>
  <c r="P23" i="6" s="1"/>
  <c r="R23" i="6" s="1"/>
  <c r="O21" i="6"/>
  <c r="P21" i="6" s="1"/>
  <c r="R21" i="6" s="1"/>
  <c r="O19" i="6"/>
  <c r="P19" i="6" s="1"/>
  <c r="R19" i="6" s="1"/>
  <c r="O191" i="6"/>
  <c r="P191" i="6" s="1"/>
  <c r="R191" i="6" s="1"/>
  <c r="O182" i="6"/>
  <c r="P182" i="6" s="1"/>
  <c r="R182" i="6" s="1"/>
  <c r="O176" i="6"/>
  <c r="P176" i="6" s="1"/>
  <c r="R176" i="6" s="1"/>
  <c r="O165" i="6"/>
  <c r="P165" i="6" s="1"/>
  <c r="R165" i="6" s="1"/>
  <c r="O194" i="6"/>
  <c r="P194" i="6" s="1"/>
  <c r="R194" i="6" s="1"/>
  <c r="O168" i="6"/>
  <c r="P168" i="6" s="1"/>
  <c r="R168" i="6" s="1"/>
  <c r="O196" i="6"/>
  <c r="P196" i="6" s="1"/>
  <c r="R196" i="6" s="1"/>
  <c r="O187" i="6"/>
  <c r="P187" i="6" s="1"/>
  <c r="R187" i="6" s="1"/>
  <c r="O185" i="6"/>
  <c r="P185" i="6" s="1"/>
  <c r="R185" i="6" s="1"/>
  <c r="O171" i="6"/>
  <c r="P171" i="6" s="1"/>
  <c r="R171" i="6" s="1"/>
  <c r="O174" i="6"/>
  <c r="P174" i="6" s="1"/>
  <c r="R174" i="6" s="1"/>
  <c r="O162" i="6"/>
  <c r="P162" i="6" s="1"/>
  <c r="R162" i="6" s="1"/>
  <c r="O160" i="6"/>
  <c r="P160" i="6" s="1"/>
  <c r="R160" i="6" s="1"/>
  <c r="O158" i="6"/>
  <c r="P158" i="6" s="1"/>
  <c r="R158" i="6" s="1"/>
  <c r="O156" i="6"/>
  <c r="P156" i="6" s="1"/>
  <c r="R156" i="6" s="1"/>
  <c r="O154" i="6"/>
  <c r="P154" i="6" s="1"/>
  <c r="R154" i="6" s="1"/>
  <c r="O152" i="6"/>
  <c r="P152" i="6" s="1"/>
  <c r="R152" i="6" s="1"/>
  <c r="O149" i="6"/>
  <c r="P149" i="6" s="1"/>
  <c r="R149" i="6" s="1"/>
  <c r="O145" i="6"/>
  <c r="P145" i="6" s="1"/>
  <c r="R145" i="6" s="1"/>
  <c r="O142" i="6"/>
  <c r="P142" i="6" s="1"/>
  <c r="R142" i="6" s="1"/>
  <c r="O138" i="6"/>
  <c r="P138" i="6" s="1"/>
  <c r="R138" i="6" s="1"/>
  <c r="O135" i="6"/>
  <c r="P135" i="6" s="1"/>
  <c r="R135" i="6" s="1"/>
  <c r="O133" i="6"/>
  <c r="P133" i="6" s="1"/>
  <c r="R133" i="6" s="1"/>
  <c r="O130" i="6"/>
  <c r="P130" i="6" s="1"/>
  <c r="R130" i="6" s="1"/>
  <c r="O128" i="6"/>
  <c r="P128" i="6" s="1"/>
  <c r="R128" i="6" s="1"/>
  <c r="O126" i="6"/>
  <c r="P126" i="6" s="1"/>
  <c r="R126" i="6" s="1"/>
  <c r="O124" i="6"/>
  <c r="P124" i="6" s="1"/>
  <c r="R124" i="6" s="1"/>
  <c r="O122" i="6"/>
  <c r="P122" i="6" s="1"/>
  <c r="R122" i="6" s="1"/>
  <c r="O120" i="6"/>
  <c r="P120" i="6" s="1"/>
  <c r="R120" i="6" s="1"/>
  <c r="O118" i="6"/>
  <c r="P118" i="6" s="1"/>
  <c r="R118" i="6" s="1"/>
  <c r="O116" i="6"/>
  <c r="P116" i="6" s="1"/>
  <c r="R116" i="6" s="1"/>
  <c r="O113" i="6"/>
  <c r="P113" i="6" s="1"/>
  <c r="R113" i="6" s="1"/>
  <c r="O111" i="6"/>
  <c r="P111" i="6" s="1"/>
  <c r="R111" i="6" s="1"/>
  <c r="O106" i="6"/>
  <c r="P106" i="6" s="1"/>
  <c r="R106" i="6" s="1"/>
  <c r="O103" i="6"/>
  <c r="P103" i="6" s="1"/>
  <c r="R103" i="6" s="1"/>
  <c r="O96" i="6"/>
  <c r="P96" i="6" s="1"/>
  <c r="R96" i="6" s="1"/>
  <c r="O93" i="6"/>
  <c r="P93" i="6" s="1"/>
  <c r="R93" i="6" s="1"/>
  <c r="O91" i="6"/>
  <c r="P91" i="6" s="1"/>
  <c r="R91" i="6" s="1"/>
  <c r="O89" i="6"/>
  <c r="P89" i="6" s="1"/>
  <c r="R89" i="6" s="1"/>
  <c r="O87" i="6"/>
  <c r="P87" i="6" s="1"/>
  <c r="R87" i="6" s="1"/>
  <c r="O84" i="6"/>
  <c r="P84" i="6" s="1"/>
  <c r="R84" i="6" s="1"/>
  <c r="O82" i="6"/>
  <c r="P82" i="6" s="1"/>
  <c r="R82" i="6" s="1"/>
  <c r="O80" i="6"/>
  <c r="P80" i="6" s="1"/>
  <c r="R80" i="6" s="1"/>
  <c r="O78" i="6"/>
  <c r="P78" i="6" s="1"/>
  <c r="R78" i="6" s="1"/>
  <c r="O76" i="6"/>
  <c r="P76" i="6" s="1"/>
  <c r="R76" i="6" s="1"/>
  <c r="O74" i="6"/>
  <c r="P74" i="6" s="1"/>
  <c r="R74" i="6" s="1"/>
  <c r="O72" i="6"/>
  <c r="P72" i="6" s="1"/>
  <c r="R72" i="6" s="1"/>
  <c r="O70" i="6"/>
  <c r="P70" i="6" s="1"/>
  <c r="R70" i="6" s="1"/>
  <c r="O68" i="6"/>
  <c r="P68" i="6" s="1"/>
  <c r="R68" i="6" s="1"/>
  <c r="O66" i="6"/>
  <c r="P66" i="6" s="1"/>
  <c r="R66" i="6" s="1"/>
  <c r="O64" i="6"/>
  <c r="P64" i="6" s="1"/>
  <c r="R64" i="6" s="1"/>
  <c r="O62" i="6"/>
  <c r="P62" i="6" s="1"/>
  <c r="R62" i="6" s="1"/>
  <c r="O58" i="6"/>
  <c r="P58" i="6" s="1"/>
  <c r="R58" i="6" s="1"/>
  <c r="O56" i="6"/>
  <c r="P56" i="6" s="1"/>
  <c r="R56" i="6" s="1"/>
  <c r="O51" i="6"/>
  <c r="P51" i="6" s="1"/>
  <c r="R51" i="6" s="1"/>
  <c r="O49" i="6"/>
  <c r="P49" i="6" s="1"/>
  <c r="R49" i="6" s="1"/>
  <c r="O47" i="6"/>
  <c r="P47" i="6" s="1"/>
  <c r="R47" i="6" s="1"/>
  <c r="O45" i="6"/>
  <c r="P45" i="6" s="1"/>
  <c r="R45" i="6" s="1"/>
  <c r="O43" i="6"/>
  <c r="P43" i="6" s="1"/>
  <c r="R43" i="6" s="1"/>
  <c r="O41" i="6"/>
  <c r="P41" i="6" s="1"/>
  <c r="R41" i="6" s="1"/>
  <c r="O38" i="6"/>
  <c r="P38" i="6" s="1"/>
  <c r="R38" i="6" s="1"/>
  <c r="O35" i="6"/>
  <c r="P35" i="6" s="1"/>
  <c r="R35" i="6" s="1"/>
  <c r="O33" i="6"/>
  <c r="P33" i="6" s="1"/>
  <c r="R33" i="6" s="1"/>
  <c r="O31" i="6"/>
  <c r="P31" i="6" s="1"/>
  <c r="R31" i="6" s="1"/>
  <c r="O29" i="6"/>
  <c r="P29" i="6" s="1"/>
  <c r="R29" i="6" s="1"/>
  <c r="O26" i="6"/>
  <c r="P26" i="6" s="1"/>
  <c r="R26" i="6" s="1"/>
  <c r="O24" i="6"/>
  <c r="P24" i="6" s="1"/>
  <c r="R24" i="6" s="1"/>
  <c r="O22" i="6"/>
  <c r="P22" i="6" s="1"/>
  <c r="R22" i="6" s="1"/>
  <c r="O20" i="6"/>
  <c r="P20" i="6" s="1"/>
  <c r="R20" i="6" s="1"/>
  <c r="O17" i="6"/>
  <c r="P17" i="6" s="1"/>
  <c r="R17" i="6" s="1"/>
  <c r="O190" i="6"/>
  <c r="P190" i="6" s="1"/>
  <c r="R190" i="6" s="1"/>
  <c r="O180" i="6"/>
  <c r="P180" i="6" s="1"/>
  <c r="R180" i="6" s="1"/>
  <c r="O166" i="6"/>
  <c r="P166" i="6" s="1"/>
  <c r="R166" i="6" s="1"/>
  <c r="O164" i="6"/>
  <c r="P164" i="6" s="1"/>
  <c r="R164" i="6" s="1"/>
  <c r="O192" i="6"/>
  <c r="P192" i="6" s="1"/>
  <c r="R192" i="6" s="1"/>
  <c r="O183" i="6"/>
  <c r="P183" i="6" s="1"/>
  <c r="R183" i="6" s="1"/>
  <c r="O109" i="6"/>
  <c r="P109" i="6" s="1"/>
  <c r="R109" i="6" s="1"/>
  <c r="O52" i="6"/>
  <c r="P52" i="6" s="1"/>
  <c r="R52" i="6" s="1"/>
  <c r="O108" i="6"/>
  <c r="P108" i="6" s="1"/>
  <c r="R108" i="6" s="1"/>
  <c r="O104" i="6"/>
  <c r="P104" i="6" s="1"/>
  <c r="R104" i="6" s="1"/>
  <c r="O85" i="6"/>
  <c r="P85" i="6" s="1"/>
  <c r="R85" i="6" s="1"/>
  <c r="O59" i="6"/>
  <c r="P59" i="6" s="1"/>
  <c r="R59" i="6" s="1"/>
  <c r="O332" i="6"/>
  <c r="O205" i="6"/>
  <c r="O55" i="6"/>
  <c r="P55" i="6" s="1"/>
  <c r="R55" i="6" s="1"/>
  <c r="O40" i="6"/>
  <c r="P40" i="6" s="1"/>
  <c r="R40" i="6" s="1"/>
  <c r="O28" i="6"/>
  <c r="P28" i="6" s="1"/>
  <c r="R28" i="6" s="1"/>
  <c r="O95" i="6"/>
  <c r="P95" i="6" s="1"/>
  <c r="R95" i="6" s="1"/>
  <c r="O16" i="6"/>
  <c r="P16" i="6" s="1"/>
  <c r="R16" i="6" s="1"/>
  <c r="O61" i="6"/>
  <c r="P61" i="6" s="1"/>
  <c r="R61" i="6" s="1"/>
  <c r="O37" i="6"/>
  <c r="P37" i="6" s="1"/>
  <c r="R37" i="6" s="1"/>
  <c r="O97" i="6"/>
  <c r="P97" i="6" s="1"/>
  <c r="R97" i="6" s="1"/>
  <c r="K207" i="6" l="1"/>
  <c r="K228" i="6"/>
  <c r="L228" i="6" s="1"/>
  <c r="M209" i="6"/>
  <c r="H450" i="6" l="1"/>
  <c r="H380" i="6"/>
  <c r="H379" i="6"/>
  <c r="K261" i="6"/>
  <c r="L261" i="6" s="1"/>
  <c r="I402" i="6"/>
  <c r="J402" i="6" s="1"/>
  <c r="L207" i="6"/>
  <c r="M207" i="6" s="1"/>
  <c r="M208" i="6"/>
  <c r="N374" i="6"/>
  <c r="M220" i="6"/>
  <c r="M224" i="6"/>
  <c r="H412" i="6"/>
  <c r="I412" i="6" s="1"/>
  <c r="J412" i="6" s="1"/>
  <c r="M221" i="6"/>
  <c r="H454" i="6" l="1"/>
  <c r="H455" i="6" s="1"/>
  <c r="I455" i="6" s="1"/>
  <c r="I450" i="6"/>
  <c r="J450" i="6" s="1"/>
  <c r="H413" i="6"/>
  <c r="I411" i="6"/>
  <c r="J411" i="6" s="1"/>
  <c r="K227" i="6"/>
  <c r="L227" i="6" s="1"/>
  <c r="F8" i="8"/>
  <c r="L210" i="6"/>
  <c r="K225" i="6"/>
  <c r="L225" i="6" s="1"/>
  <c r="F9" i="8" l="1"/>
  <c r="F11" i="8" s="1"/>
  <c r="F17" i="8" s="1"/>
  <c r="H414" i="6"/>
  <c r="I414" i="6" s="1"/>
  <c r="I413" i="6"/>
  <c r="J413" i="6" s="1"/>
  <c r="M225" i="6"/>
  <c r="K259" i="6"/>
  <c r="K226" i="6"/>
  <c r="L226" i="6" s="1"/>
  <c r="M218" i="6"/>
  <c r="M210" i="6"/>
  <c r="H388" i="6" l="1"/>
  <c r="I388" i="6" s="1"/>
  <c r="L259" i="6"/>
  <c r="J11" i="8"/>
  <c r="F30" i="8"/>
  <c r="F19" i="8"/>
  <c r="F10" i="9" s="1"/>
  <c r="F15" i="9" s="1"/>
  <c r="F19" i="9" s="1"/>
  <c r="K315" i="6"/>
  <c r="J17" i="8" s="1"/>
  <c r="K260" i="6"/>
  <c r="L260" i="6" s="1"/>
  <c r="F26" i="8" l="1"/>
  <c r="M259" i="6"/>
  <c r="K318" i="6"/>
  <c r="K316" i="6"/>
  <c r="H396" i="6" l="1"/>
  <c r="H395" i="6"/>
  <c r="J19" i="8"/>
  <c r="G10" i="9"/>
  <c r="K319" i="6"/>
  <c r="K328" i="6"/>
  <c r="J26" i="8" s="1"/>
  <c r="G15" i="9" l="1"/>
  <c r="G19" i="9" s="1"/>
  <c r="I493" i="6"/>
  <c r="J493" i="6" s="1"/>
  <c r="H497" i="6"/>
  <c r="H498" i="6" s="1"/>
  <c r="I498" i="6" s="1"/>
  <c r="I497" i="6" l="1"/>
  <c r="I504" i="6"/>
  <c r="J504" i="6" s="1"/>
  <c r="H508" i="6"/>
  <c r="H509" i="6" s="1"/>
  <c r="I509" i="6" s="1"/>
  <c r="I508" i="6" l="1"/>
  <c r="C22" i="8" l="1"/>
  <c r="E23" i="9" s="1"/>
  <c r="E26" i="9" l="1"/>
  <c r="G23" i="9"/>
  <c r="M22" i="8"/>
  <c r="D21" i="8"/>
  <c r="D20" i="8" l="1"/>
  <c r="E30" i="9"/>
  <c r="E31" i="9" s="1"/>
  <c r="M21" i="8"/>
  <c r="M20" i="8" s="1"/>
  <c r="L22" i="8"/>
  <c r="I197" i="6" l="1"/>
  <c r="L21" i="8"/>
  <c r="L314" i="6"/>
  <c r="H65" i="12" l="1"/>
  <c r="K63" i="12"/>
  <c r="J197" i="6"/>
  <c r="L24" i="8"/>
  <c r="C16" i="8"/>
  <c r="J276" i="6"/>
  <c r="J315" i="6" s="1"/>
  <c r="M314" i="6"/>
  <c r="L301" i="6"/>
  <c r="M301" i="6" s="1"/>
  <c r="I202" i="6"/>
  <c r="H66" i="12" s="1"/>
  <c r="H67" i="12" s="1"/>
  <c r="J193" i="6" l="1"/>
  <c r="D43" i="7" s="1"/>
  <c r="L197" i="6"/>
  <c r="M197" i="6" s="1"/>
  <c r="D17" i="8"/>
  <c r="L23" i="8"/>
  <c r="H202" i="6"/>
  <c r="G66" i="12" s="1"/>
  <c r="L276" i="6"/>
  <c r="J318" i="6"/>
  <c r="L318" i="6" s="1"/>
  <c r="J316" i="6"/>
  <c r="L316" i="6" s="1"/>
  <c r="M16" i="8"/>
  <c r="M17" i="8" s="1"/>
  <c r="L17" i="8" s="1"/>
  <c r="L328" i="6" l="1"/>
  <c r="M318" i="6"/>
  <c r="L193" i="6"/>
  <c r="L200" i="6" s="1"/>
  <c r="L201" i="6" s="1"/>
  <c r="J200" i="6"/>
  <c r="L20" i="8"/>
  <c r="D19" i="8"/>
  <c r="D30" i="8"/>
  <c r="H17" i="8"/>
  <c r="M19" i="8"/>
  <c r="L16" i="8"/>
  <c r="J328" i="6"/>
  <c r="J319" i="6"/>
  <c r="L319" i="6" s="1"/>
  <c r="M276" i="6"/>
  <c r="L315" i="6"/>
  <c r="M315" i="6" s="1"/>
  <c r="C20" i="7"/>
  <c r="G396" i="6" l="1"/>
  <c r="I396" i="6" s="1"/>
  <c r="G380" i="6"/>
  <c r="I380" i="6" s="1"/>
  <c r="L19" i="8"/>
  <c r="L26" i="8" s="1"/>
  <c r="M26" i="8"/>
  <c r="D44" i="7"/>
  <c r="H19" i="8"/>
  <c r="D26" i="8"/>
  <c r="H26" i="8" s="1"/>
  <c r="F21" i="9"/>
  <c r="F26" i="9" s="1"/>
  <c r="F30" i="9" l="1"/>
  <c r="F31" i="9" s="1"/>
  <c r="G26" i="9"/>
  <c r="G30" i="9" s="1"/>
  <c r="D61" i="10"/>
  <c r="D63" i="10" s="1"/>
  <c r="D64" i="10" s="1"/>
  <c r="G21" i="9"/>
  <c r="G31" i="9" l="1"/>
  <c r="M28" i="8"/>
  <c r="L28" i="8" s="1"/>
  <c r="G146" i="6" l="1"/>
  <c r="G177" i="6" s="1"/>
  <c r="G201" i="6" s="1"/>
  <c r="J108" i="6" l="1"/>
  <c r="G386" i="6" s="1"/>
  <c r="J177" i="6" l="1"/>
  <c r="M108" i="6"/>
  <c r="C28" i="7"/>
  <c r="J201" i="6" l="1"/>
  <c r="G395" i="6" s="1"/>
  <c r="G387" i="6"/>
  <c r="I387" i="6" s="1"/>
  <c r="M109" i="6"/>
  <c r="I395" i="6" l="1"/>
  <c r="I386" i="6"/>
  <c r="C30" i="7"/>
  <c r="M104" i="6" l="1"/>
  <c r="D25" i="7"/>
  <c r="H25" i="7" s="1"/>
  <c r="C21" i="7"/>
  <c r="C17" i="7" l="1"/>
  <c r="D37" i="7"/>
  <c r="D45" i="7" s="1"/>
  <c r="M85" i="6"/>
  <c r="M102" i="6"/>
  <c r="M61" i="6" l="1"/>
  <c r="J100" i="6" l="1"/>
  <c r="C18" i="7"/>
  <c r="O100" i="6"/>
  <c r="P100" i="6" s="1"/>
  <c r="R100" i="6" s="1"/>
  <c r="N100" i="6"/>
  <c r="G99" i="6"/>
  <c r="O99" i="6" s="1"/>
  <c r="P99" i="6" s="1"/>
  <c r="R99" i="6" s="1"/>
  <c r="J99" i="6" l="1"/>
  <c r="J54" i="6" s="1"/>
  <c r="N99" i="6"/>
  <c r="G54" i="6"/>
  <c r="G107" i="6" s="1"/>
  <c r="G202" i="6" s="1"/>
  <c r="D15" i="7"/>
  <c r="L100" i="6"/>
  <c r="O54" i="6" l="1"/>
  <c r="P54" i="6" s="1"/>
  <c r="R54" i="6" s="1"/>
  <c r="N54" i="6"/>
  <c r="O107" i="6"/>
  <c r="P107" i="6" s="1"/>
  <c r="R107" i="6" s="1"/>
  <c r="N107" i="6"/>
  <c r="D23" i="7"/>
  <c r="D46" i="7" s="1"/>
  <c r="H15" i="7"/>
  <c r="J107" i="6"/>
  <c r="L99" i="6"/>
  <c r="M100" i="6"/>
  <c r="J202" i="6" l="1"/>
  <c r="G379" i="6"/>
  <c r="I379" i="6" s="1"/>
  <c r="G472" i="6"/>
  <c r="G473" i="6" s="1"/>
  <c r="I473" i="6" s="1"/>
  <c r="L54" i="6"/>
  <c r="M99" i="6"/>
  <c r="I472" i="6" l="1"/>
  <c r="J472" i="6" s="1"/>
  <c r="M54" i="6"/>
  <c r="L107" i="6"/>
  <c r="L202" i="6" l="1"/>
  <c r="M107" i="6"/>
  <c r="G65" i="12" l="1"/>
  <c r="G67" i="12" s="1"/>
  <c r="O62" i="12"/>
</calcChain>
</file>

<file path=xl/sharedStrings.xml><?xml version="1.0" encoding="utf-8"?>
<sst xmlns="http://schemas.openxmlformats.org/spreadsheetml/2006/main" count="1009" uniqueCount="680">
  <si>
    <t>%</t>
  </si>
  <si>
    <t>Variance</t>
  </si>
  <si>
    <t>금액</t>
    <phoneticPr fontId="7" type="noConversion"/>
  </si>
  <si>
    <t>미수금</t>
  </si>
  <si>
    <t>설명</t>
    <phoneticPr fontId="7" type="noConversion"/>
  </si>
  <si>
    <t>금액</t>
    <phoneticPr fontId="7" type="noConversion"/>
  </si>
  <si>
    <t>잡이익</t>
  </si>
  <si>
    <t>이자비용</t>
  </si>
  <si>
    <t>2. 손익계산서</t>
    <phoneticPr fontId="3" type="noConversion"/>
  </si>
  <si>
    <t>1. 재무상태표</t>
    <phoneticPr fontId="3" type="noConversion"/>
  </si>
  <si>
    <t>재무상태표</t>
    <phoneticPr fontId="7" type="noConversion"/>
  </si>
  <si>
    <t>선급금</t>
  </si>
  <si>
    <t>선급비용</t>
  </si>
  <si>
    <t>제품</t>
  </si>
  <si>
    <t>재공품</t>
  </si>
  <si>
    <t>원재료</t>
  </si>
  <si>
    <t>기계장치</t>
  </si>
  <si>
    <t>차량운반구</t>
  </si>
  <si>
    <t>미지급비용</t>
  </si>
  <si>
    <t>단기차입금</t>
  </si>
  <si>
    <t>손익계산서</t>
    <phoneticPr fontId="7" type="noConversion"/>
  </si>
  <si>
    <t>매출액</t>
    <phoneticPr fontId="7" type="noConversion"/>
  </si>
  <si>
    <t>매출원가</t>
    <phoneticPr fontId="7" type="noConversion"/>
  </si>
  <si>
    <t>제품매출원가</t>
    <phoneticPr fontId="7" type="noConversion"/>
  </si>
  <si>
    <t>매출총이익(Gross margin)</t>
    <phoneticPr fontId="7" type="noConversion"/>
  </si>
  <si>
    <t>매출총이익률</t>
    <phoneticPr fontId="7" type="noConversion"/>
  </si>
  <si>
    <t>판매비와관리비</t>
    <phoneticPr fontId="7" type="noConversion"/>
  </si>
  <si>
    <t>영업이익</t>
    <phoneticPr fontId="7" type="noConversion"/>
  </si>
  <si>
    <t>영업이익률</t>
    <phoneticPr fontId="7" type="noConversion"/>
  </si>
  <si>
    <t>외화환산이익</t>
  </si>
  <si>
    <t>외환차손</t>
  </si>
  <si>
    <t>외화환산손실</t>
  </si>
  <si>
    <t>잡손실</t>
  </si>
  <si>
    <t>법인세비용차감전순이익율</t>
    <phoneticPr fontId="7" type="noConversion"/>
  </si>
  <si>
    <t>당기순이익</t>
    <phoneticPr fontId="7" type="noConversion"/>
  </si>
  <si>
    <t>당기순이익율</t>
    <phoneticPr fontId="7" type="noConversion"/>
  </si>
  <si>
    <t>대손상각비</t>
  </si>
  <si>
    <t>외환차익</t>
  </si>
  <si>
    <t>공구와기구</t>
  </si>
  <si>
    <t>주식발행초과금</t>
  </si>
  <si>
    <t>기초제품재고액</t>
  </si>
  <si>
    <t>당기제품제조원가</t>
  </si>
  <si>
    <t>여비교통비</t>
  </si>
  <si>
    <t>접대비</t>
  </si>
  <si>
    <t>통신비</t>
  </si>
  <si>
    <t>수선비</t>
  </si>
  <si>
    <t>보험료</t>
  </si>
  <si>
    <t>교육훈련비</t>
  </si>
  <si>
    <t>도서인쇄비</t>
  </si>
  <si>
    <t>지급수수료</t>
  </si>
  <si>
    <t>광고선전비</t>
  </si>
  <si>
    <t>복리후생비</t>
  </si>
  <si>
    <t>소모품비</t>
  </si>
  <si>
    <t>차량유지비</t>
  </si>
  <si>
    <t>운반비</t>
  </si>
  <si>
    <t>이자수익</t>
  </si>
  <si>
    <t>미수수익</t>
  </si>
  <si>
    <t>토지</t>
  </si>
  <si>
    <t>건물</t>
  </si>
  <si>
    <t>건설중인자산</t>
  </si>
  <si>
    <t>미지급법인세</t>
  </si>
  <si>
    <t>금융보증부채</t>
  </si>
  <si>
    <t>확정급여채무</t>
  </si>
  <si>
    <t>기타유동자산</t>
  </si>
  <si>
    <t>재고자산</t>
  </si>
  <si>
    <t>유형자산</t>
  </si>
  <si>
    <t>무형자산</t>
  </si>
  <si>
    <t>이연법인세자산</t>
  </si>
  <si>
    <t>자본금</t>
  </si>
  <si>
    <t>자본잉여금</t>
  </si>
  <si>
    <t>이익잉여금</t>
  </si>
  <si>
    <t>퇴직급여</t>
  </si>
  <si>
    <t>감가상각비</t>
  </si>
  <si>
    <t>유형자산처분이익</t>
  </si>
  <si>
    <t>기타포괄손익</t>
    <phoneticPr fontId="7" type="noConversion"/>
  </si>
  <si>
    <t>법인세비용</t>
  </si>
  <si>
    <t>총포괄손익</t>
    <phoneticPr fontId="7" type="noConversion"/>
  </si>
  <si>
    <t>판매비와관리비</t>
  </si>
  <si>
    <t>금융수익</t>
  </si>
  <si>
    <t>기타수익</t>
  </si>
  <si>
    <t>금융비용</t>
  </si>
  <si>
    <t>기타비용</t>
  </si>
  <si>
    <t>기타수익</t>
    <phoneticPr fontId="7" type="noConversion"/>
  </si>
  <si>
    <t>합계</t>
    <phoneticPr fontId="7" type="noConversion"/>
  </si>
  <si>
    <t>노무비</t>
  </si>
  <si>
    <t>3. 제조원가명세서</t>
    <phoneticPr fontId="7" type="noConversion"/>
  </si>
  <si>
    <t>금액</t>
    <phoneticPr fontId="7" type="noConversion"/>
  </si>
  <si>
    <t>재료비</t>
    <phoneticPr fontId="7" type="noConversion"/>
  </si>
  <si>
    <t>제조경비</t>
    <phoneticPr fontId="7" type="noConversion"/>
  </si>
  <si>
    <t>당기총제조비용</t>
    <phoneticPr fontId="7" type="noConversion"/>
  </si>
  <si>
    <t>기초재공품 재고액</t>
  </si>
  <si>
    <t>기말재공품 재고액</t>
  </si>
  <si>
    <t>당기제품제조원가</t>
    <phoneticPr fontId="7" type="noConversion"/>
  </si>
  <si>
    <t>판관비율</t>
    <phoneticPr fontId="7" type="noConversion"/>
  </si>
  <si>
    <t>제조원가명세서</t>
    <phoneticPr fontId="7" type="noConversion"/>
  </si>
  <si>
    <t>사용권자산</t>
  </si>
  <si>
    <t>제품매출</t>
    <phoneticPr fontId="7" type="noConversion"/>
  </si>
  <si>
    <t>상품매출</t>
    <phoneticPr fontId="7" type="noConversion"/>
  </si>
  <si>
    <t>선급법인세</t>
  </si>
  <si>
    <t>타계정에서대체액</t>
    <phoneticPr fontId="7" type="noConversion"/>
  </si>
  <si>
    <t>상품</t>
  </si>
  <si>
    <t>건물감가상각누계액</t>
  </si>
  <si>
    <t>구축물</t>
  </si>
  <si>
    <t>구축물감가상각누계액</t>
  </si>
  <si>
    <t>회원권</t>
  </si>
  <si>
    <t>자기주식</t>
  </si>
  <si>
    <t>상품매출원가</t>
    <phoneticPr fontId="7" type="noConversion"/>
  </si>
  <si>
    <t>수도광열비</t>
  </si>
  <si>
    <t>파생상품평가이익</t>
  </si>
  <si>
    <t>기타의대손상각비</t>
  </si>
  <si>
    <t>Assign</t>
    <phoneticPr fontId="7" type="noConversion"/>
  </si>
  <si>
    <t>제품총이익율</t>
    <phoneticPr fontId="7" type="noConversion"/>
  </si>
  <si>
    <t>상품총이익율</t>
    <phoneticPr fontId="7" type="noConversion"/>
  </si>
  <si>
    <t>전기</t>
    <phoneticPr fontId="7" type="noConversion"/>
  </si>
  <si>
    <t>단기금융상품</t>
  </si>
  <si>
    <t>금융수익</t>
    <phoneticPr fontId="7" type="noConversion"/>
  </si>
  <si>
    <t>기타비용</t>
    <phoneticPr fontId="7" type="noConversion"/>
  </si>
  <si>
    <t>금융비용</t>
    <phoneticPr fontId="7" type="noConversion"/>
  </si>
  <si>
    <t>중요성 양정기준</t>
    <phoneticPr fontId="7" type="noConversion"/>
  </si>
  <si>
    <t>유의중요성 x 75%</t>
    <phoneticPr fontId="7" type="noConversion"/>
  </si>
  <si>
    <t>유의한 계정과목여부</t>
  </si>
  <si>
    <t>양적</t>
  </si>
  <si>
    <t>질적</t>
  </si>
  <si>
    <t>결론</t>
  </si>
  <si>
    <t>중요성 양정기준</t>
  </si>
  <si>
    <t>유의중요성 x 75%</t>
  </si>
  <si>
    <t>BDO</t>
  </si>
  <si>
    <t>CLIENT NAME</t>
  </si>
  <si>
    <t>Preparer</t>
    <phoneticPr fontId="7" type="noConversion"/>
  </si>
  <si>
    <t>Reviewer</t>
    <phoneticPr fontId="7" type="noConversion"/>
  </si>
  <si>
    <t>Date</t>
    <phoneticPr fontId="7" type="noConversion"/>
  </si>
  <si>
    <t>DOCUMENT NAME</t>
  </si>
  <si>
    <t>PERIOD END</t>
  </si>
  <si>
    <t>Engagement Materiality</t>
  </si>
  <si>
    <t>Performance Materiality</t>
  </si>
  <si>
    <t>Currency</t>
  </si>
  <si>
    <t>DOCUMENT MANAGER REF</t>
  </si>
  <si>
    <t>No Rounding</t>
  </si>
  <si>
    <t>계획단계 분석적절차 - Planning Analytical Review</t>
    <phoneticPr fontId="7" type="noConversion"/>
  </si>
  <si>
    <t>부가세대급금</t>
  </si>
  <si>
    <t>무형자산손상차손</t>
  </si>
  <si>
    <t>보증금</t>
  </si>
  <si>
    <t>판매보증충당부채</t>
  </si>
  <si>
    <t>기타자본잉여금</t>
  </si>
  <si>
    <t>재평가잉여금</t>
  </si>
  <si>
    <t>지분법자본변동</t>
  </si>
  <si>
    <t>지급임차료</t>
  </si>
  <si>
    <t>무형자산상각비</t>
  </si>
  <si>
    <t>판매보증비</t>
  </si>
  <si>
    <t>통화선도거래손실</t>
  </si>
  <si>
    <t>통화선도평가손실</t>
  </si>
  <si>
    <t>O</t>
    <phoneticPr fontId="7" type="noConversion"/>
  </si>
  <si>
    <t>유형자산처분손실</t>
  </si>
  <si>
    <t>무형자산처분손실</t>
  </si>
  <si>
    <t>재무상태표</t>
    <phoneticPr fontId="3" type="noConversion"/>
  </si>
  <si>
    <t>(단위 : 원)</t>
  </si>
  <si>
    <t>과 목</t>
  </si>
  <si>
    <t>주석</t>
    <phoneticPr fontId="3" type="noConversion"/>
  </si>
  <si>
    <t>자산</t>
  </si>
  <si>
    <t>I. 유동자산</t>
  </si>
  <si>
    <t>II. 비유동자산</t>
  </si>
  <si>
    <t>자산총계</t>
  </si>
  <si>
    <t>부채</t>
  </si>
  <si>
    <t>I. 유동부채</t>
  </si>
  <si>
    <t>II. 비유동부채</t>
  </si>
  <si>
    <t>부채총계</t>
  </si>
  <si>
    <t>자본</t>
  </si>
  <si>
    <t>I. 자본금</t>
    <phoneticPr fontId="3" type="noConversion"/>
  </si>
  <si>
    <t>II. 자본잉여금</t>
    <phoneticPr fontId="3" type="noConversion"/>
  </si>
  <si>
    <t>자본총계</t>
  </si>
  <si>
    <t>부채및자본총계</t>
  </si>
  <si>
    <t>포괄손익계산서</t>
    <phoneticPr fontId="3" type="noConversion"/>
  </si>
  <si>
    <t>1분기</t>
    <phoneticPr fontId="3" type="noConversion"/>
  </si>
  <si>
    <t>3개월</t>
    <phoneticPr fontId="3" type="noConversion"/>
  </si>
  <si>
    <t>누적</t>
    <phoneticPr fontId="3" type="noConversion"/>
  </si>
  <si>
    <t>I. 매출액</t>
    <phoneticPr fontId="3" type="noConversion"/>
  </si>
  <si>
    <t>II.매출원가</t>
    <phoneticPr fontId="3" type="noConversion"/>
  </si>
  <si>
    <t>III. 매출총이익</t>
  </si>
  <si>
    <t>IV.영업이익</t>
    <phoneticPr fontId="3" type="noConversion"/>
  </si>
  <si>
    <t>기타수익</t>
    <phoneticPr fontId="3" type="noConversion"/>
  </si>
  <si>
    <t>기타비용</t>
    <phoneticPr fontId="3" type="noConversion"/>
  </si>
  <si>
    <t>금융수익</t>
    <phoneticPr fontId="3" type="noConversion"/>
  </si>
  <si>
    <t>금융비용</t>
    <phoneticPr fontId="3" type="noConversion"/>
  </si>
  <si>
    <t>V. 법인세차감전순이익</t>
    <phoneticPr fontId="3" type="noConversion"/>
  </si>
  <si>
    <t>VII. 당기순이익</t>
    <phoneticPr fontId="3" type="noConversion"/>
  </si>
  <si>
    <t>VIII. 기타포괄손익</t>
    <phoneticPr fontId="3" type="noConversion"/>
  </si>
  <si>
    <t>후속기간에당기손익으로 재분류되지 않는 포괄손익</t>
    <phoneticPr fontId="3" type="noConversion"/>
  </si>
  <si>
    <t>확정급여제도의 재측정요소</t>
    <phoneticPr fontId="3" type="noConversion"/>
  </si>
  <si>
    <t>IX. 총포괄이익</t>
    <phoneticPr fontId="3" type="noConversion"/>
  </si>
  <si>
    <t>X. 주당이익</t>
    <phoneticPr fontId="3" type="noConversion"/>
  </si>
  <si>
    <t>(주33)</t>
  </si>
  <si>
    <t>기본주당이익</t>
  </si>
  <si>
    <t>자본변동표</t>
    <phoneticPr fontId="3" type="noConversion"/>
  </si>
  <si>
    <t>자 본 금</t>
  </si>
  <si>
    <t>총 계</t>
  </si>
  <si>
    <t>반기순이익</t>
    <phoneticPr fontId="3" type="noConversion"/>
  </si>
  <si>
    <t>기타포괄손익</t>
  </si>
  <si>
    <t>  확정급여제도의 재측정요소</t>
    <phoneticPr fontId="3" type="noConversion"/>
  </si>
  <si>
    <t>자본에 직접 반영된 주주와의 거래</t>
    <phoneticPr fontId="3" type="noConversion"/>
  </si>
  <si>
    <t xml:space="preserve">  연차배당</t>
    <phoneticPr fontId="3" type="noConversion"/>
  </si>
  <si>
    <t>2023.06.30(당반기말)</t>
    <phoneticPr fontId="3" type="noConversion"/>
  </si>
  <si>
    <t>현 금 흐 름 표</t>
    <phoneticPr fontId="43" type="noConversion"/>
  </si>
  <si>
    <t> 과                        목 </t>
  </si>
  <si>
    <t> I.영업활동으로 인한 현금흐름 </t>
  </si>
  <si>
    <t> II.투자활동으로 인한 현금흐름 </t>
  </si>
  <si>
    <t> III.재무활동으로인한현금흐름 </t>
  </si>
  <si>
    <t> IV.외화표시현금및현금성자산의환율변동효과 </t>
  </si>
  <si>
    <t>매출채권</t>
  </si>
  <si>
    <t>비품</t>
  </si>
  <si>
    <t>매입채무</t>
  </si>
  <si>
    <t>미지급금</t>
  </si>
  <si>
    <t>합계</t>
    <phoneticPr fontId="3" type="noConversion"/>
  </si>
  <si>
    <t>장기미지급금</t>
  </si>
  <si>
    <t>예수금</t>
  </si>
  <si>
    <t>미처분이익잉여금</t>
  </si>
  <si>
    <t>급여</t>
  </si>
  <si>
    <t>기부금</t>
  </si>
  <si>
    <t>구분</t>
    <phoneticPr fontId="3" type="noConversion"/>
  </si>
  <si>
    <t>회사로부터 제시받은 왜곡표시</t>
    <phoneticPr fontId="49" type="noConversion"/>
  </si>
  <si>
    <t>회사명:</t>
    <phoneticPr fontId="3" type="noConversion"/>
  </si>
  <si>
    <t>작성자:</t>
    <phoneticPr fontId="3" type="noConversion"/>
  </si>
  <si>
    <t>일자:</t>
    <phoneticPr fontId="3" type="noConversion"/>
  </si>
  <si>
    <t>결산일:</t>
  </si>
  <si>
    <t>검토자:</t>
    <phoneticPr fontId="3" type="noConversion"/>
  </si>
  <si>
    <t>Description</t>
    <phoneticPr fontId="53" type="noConversion"/>
  </si>
  <si>
    <t>BS</t>
    <phoneticPr fontId="53" type="noConversion"/>
  </si>
  <si>
    <t>IS</t>
    <phoneticPr fontId="53" type="noConversion"/>
  </si>
  <si>
    <t>손익에 미치는 효과</t>
    <phoneticPr fontId="3" type="noConversion"/>
  </si>
  <si>
    <t>Accep
-ted</t>
    <phoneticPr fontId="53" type="noConversion"/>
  </si>
  <si>
    <t>Pass
-ed</t>
    <phoneticPr fontId="53" type="noConversion"/>
  </si>
  <si>
    <t>Dr)</t>
    <phoneticPr fontId="53" type="noConversion"/>
  </si>
  <si>
    <t>Cr)</t>
    <phoneticPr fontId="53" type="noConversion"/>
  </si>
  <si>
    <t>수정사항 효과 합계</t>
    <phoneticPr fontId="53" type="noConversion"/>
  </si>
  <si>
    <t>왜곡표시</t>
    <phoneticPr fontId="3" type="noConversion"/>
  </si>
  <si>
    <t>정산표</t>
    <phoneticPr fontId="3" type="noConversion"/>
  </si>
  <si>
    <t>diff</t>
    <phoneticPr fontId="3" type="noConversion"/>
  </si>
  <si>
    <t>IV. 기타포괄손익누계액</t>
    <phoneticPr fontId="3" type="noConversion"/>
  </si>
  <si>
    <t>V. 이익잉여금</t>
    <phoneticPr fontId="3" type="noConversion"/>
  </si>
  <si>
    <t>지분법이익</t>
  </si>
  <si>
    <t>지분법손실</t>
  </si>
  <si>
    <t>후속기간에당기손익으로 재분류되는 포괄손익</t>
    <phoneticPr fontId="3" type="noConversion"/>
  </si>
  <si>
    <t>지분법 자본변동</t>
    <phoneticPr fontId="3" type="noConversion"/>
  </si>
  <si>
    <t>기타포괄손익누계액</t>
    <phoneticPr fontId="3" type="noConversion"/>
  </si>
  <si>
    <t> 제 34(당) 반기</t>
    <phoneticPr fontId="43" type="noConversion"/>
  </si>
  <si>
    <t> 제 33(전) 반기</t>
    <phoneticPr fontId="43" type="noConversion"/>
  </si>
  <si>
    <t>Dr</t>
    <phoneticPr fontId="3" type="noConversion"/>
  </si>
  <si>
    <t>Cr</t>
    <phoneticPr fontId="3" type="noConversion"/>
  </si>
  <si>
    <t>당기(검토후제시)</t>
    <phoneticPr fontId="7" type="noConversion"/>
  </si>
  <si>
    <t>유의한 계정과목</t>
    <phoneticPr fontId="7" type="noConversion"/>
  </si>
  <si>
    <t>여부 결론</t>
    <phoneticPr fontId="7" type="noConversion"/>
  </si>
  <si>
    <t>I. 매출액</t>
  </si>
  <si>
    <t>II.매출원가</t>
  </si>
  <si>
    <t>판매비와관리비</t>
    <phoneticPr fontId="3" type="noConversion"/>
  </si>
  <si>
    <t>VI. 법인세비용</t>
  </si>
  <si>
    <t>VI. 법인세비용</t>
    <phoneticPr fontId="3" type="noConversion"/>
  </si>
  <si>
    <t>확정급여제도의 재측정요소</t>
  </si>
  <si>
    <t xml:space="preserve">  지분법자본변동</t>
    <phoneticPr fontId="3" type="noConversion"/>
  </si>
  <si>
    <t xml:space="preserve">  배당금의지급</t>
    <phoneticPr fontId="3" type="noConversion"/>
  </si>
  <si>
    <t>유형자산손상차손</t>
  </si>
  <si>
    <t>통화선도평가이익</t>
  </si>
  <si>
    <t>1. 비율분석</t>
    <phoneticPr fontId="3" type="noConversion"/>
  </si>
  <si>
    <t>(1) 활동성 비율</t>
    <phoneticPr fontId="7" type="noConversion"/>
  </si>
  <si>
    <t>구분</t>
    <phoneticPr fontId="7" type="noConversion"/>
  </si>
  <si>
    <t>증감</t>
    <phoneticPr fontId="7" type="noConversion"/>
  </si>
  <si>
    <t>총자산회전율</t>
    <phoneticPr fontId="7" type="noConversion"/>
  </si>
  <si>
    <t>자기자본회전율</t>
    <phoneticPr fontId="7" type="noConversion"/>
  </si>
  <si>
    <t>&lt;comment&gt;</t>
    <phoneticPr fontId="7" type="noConversion"/>
  </si>
  <si>
    <t>(2) 안정성 비율</t>
    <phoneticPr fontId="7" type="noConversion"/>
  </si>
  <si>
    <t>유동비율</t>
    <phoneticPr fontId="7" type="noConversion"/>
  </si>
  <si>
    <t>부채비율</t>
    <phoneticPr fontId="7" type="noConversion"/>
  </si>
  <si>
    <t>(3) 수익성 비율</t>
    <phoneticPr fontId="7" type="noConversion"/>
  </si>
  <si>
    <t>총자본이익율</t>
    <phoneticPr fontId="7" type="noConversion"/>
  </si>
  <si>
    <t>자기자본이익율</t>
    <phoneticPr fontId="7" type="noConversion"/>
  </si>
  <si>
    <t>2. 매출</t>
    <phoneticPr fontId="3" type="noConversion"/>
  </si>
  <si>
    <t>증감액</t>
    <phoneticPr fontId="7" type="noConversion"/>
  </si>
  <si>
    <t>증감율</t>
    <phoneticPr fontId="7" type="noConversion"/>
  </si>
  <si>
    <t>제품매출액</t>
  </si>
  <si>
    <t>&lt;comment&gt;</t>
  </si>
  <si>
    <t>3. 매출원가</t>
    <phoneticPr fontId="7" type="noConversion"/>
  </si>
  <si>
    <t>1) 제품매출총이익율</t>
    <phoneticPr fontId="7" type="noConversion"/>
  </si>
  <si>
    <t>제품매출액</t>
    <phoneticPr fontId="7" type="noConversion"/>
  </si>
  <si>
    <t>제품매출총이익</t>
    <phoneticPr fontId="7" type="noConversion"/>
  </si>
  <si>
    <t>제품매출총이익율</t>
    <phoneticPr fontId="7" type="noConversion"/>
  </si>
  <si>
    <t>4. 판관비 등</t>
    <phoneticPr fontId="7" type="noConversion"/>
  </si>
  <si>
    <t>판관비</t>
    <phoneticPr fontId="7" type="noConversion"/>
  </si>
  <si>
    <t>제조원가</t>
    <phoneticPr fontId="7" type="noConversion"/>
  </si>
  <si>
    <t>5. 매출채권</t>
    <phoneticPr fontId="7" type="noConversion"/>
  </si>
  <si>
    <t>매출채권 회전율</t>
    <phoneticPr fontId="7" type="noConversion"/>
  </si>
  <si>
    <t>증감액</t>
    <phoneticPr fontId="3" type="noConversion"/>
  </si>
  <si>
    <t>매출액(연환산)</t>
    <phoneticPr fontId="7" type="noConversion"/>
  </si>
  <si>
    <t>기초매출채권</t>
    <phoneticPr fontId="7" type="noConversion"/>
  </si>
  <si>
    <t>기말매출채권</t>
    <phoneticPr fontId="7" type="noConversion"/>
  </si>
  <si>
    <t>평균매출채권</t>
    <phoneticPr fontId="7" type="noConversion"/>
  </si>
  <si>
    <t>매출채권회전율</t>
    <phoneticPr fontId="7" type="noConversion"/>
  </si>
  <si>
    <t>매출채권회수기일</t>
    <phoneticPr fontId="7" type="noConversion"/>
  </si>
  <si>
    <t>&lt;Comment&gt;</t>
    <phoneticPr fontId="7" type="noConversion"/>
  </si>
  <si>
    <t>6. 재고자산</t>
    <phoneticPr fontId="7" type="noConversion"/>
  </si>
  <si>
    <t>(1) 재고자산 구성내역</t>
    <phoneticPr fontId="3" type="noConversion"/>
  </si>
  <si>
    <t>증감율</t>
    <phoneticPr fontId="3" type="noConversion"/>
  </si>
  <si>
    <t>평가충당금_제품</t>
    <phoneticPr fontId="7" type="noConversion"/>
  </si>
  <si>
    <t>재공품</t>
    <phoneticPr fontId="3" type="noConversion"/>
  </si>
  <si>
    <t>평가충당금_재공품</t>
    <phoneticPr fontId="7" type="noConversion"/>
  </si>
  <si>
    <t>평가충당금_원재료</t>
    <phoneticPr fontId="7" type="noConversion"/>
  </si>
  <si>
    <t>총자산</t>
    <phoneticPr fontId="3" type="noConversion"/>
  </si>
  <si>
    <t>재고자산비율</t>
    <phoneticPr fontId="3" type="noConversion"/>
  </si>
  <si>
    <t>(2) 재고자산 회전율</t>
    <phoneticPr fontId="3" type="noConversion"/>
  </si>
  <si>
    <t>1) 원재료</t>
    <phoneticPr fontId="3" type="noConversion"/>
  </si>
  <si>
    <t>원재료매입액(연환산)</t>
    <phoneticPr fontId="3" type="noConversion"/>
  </si>
  <si>
    <t>기초원재료</t>
    <phoneticPr fontId="3" type="noConversion"/>
  </si>
  <si>
    <t>기말원재료</t>
    <phoneticPr fontId="3" type="noConversion"/>
  </si>
  <si>
    <t>평균원재료</t>
    <phoneticPr fontId="3" type="noConversion"/>
  </si>
  <si>
    <t>원재료회전율</t>
    <phoneticPr fontId="3" type="noConversion"/>
  </si>
  <si>
    <t>원재료사용기일</t>
    <phoneticPr fontId="3" type="noConversion"/>
  </si>
  <si>
    <t>&lt;comment&gt;</t>
    <phoneticPr fontId="3" type="noConversion"/>
  </si>
  <si>
    <t>2) 제품</t>
    <phoneticPr fontId="3" type="noConversion"/>
  </si>
  <si>
    <t>제품매출원가(연환산)</t>
    <phoneticPr fontId="3" type="noConversion"/>
  </si>
  <si>
    <t>기초제품</t>
    <phoneticPr fontId="3" type="noConversion"/>
  </si>
  <si>
    <t>기말제품</t>
    <phoneticPr fontId="3" type="noConversion"/>
  </si>
  <si>
    <t>평균제품</t>
    <phoneticPr fontId="3" type="noConversion"/>
  </si>
  <si>
    <t>재고자산회전율</t>
    <phoneticPr fontId="3" type="noConversion"/>
  </si>
  <si>
    <t>재고자산사용기일</t>
    <phoneticPr fontId="3" type="noConversion"/>
  </si>
  <si>
    <t>기초매입채무</t>
    <phoneticPr fontId="7" type="noConversion"/>
  </si>
  <si>
    <t>기말매입채무</t>
    <phoneticPr fontId="7" type="noConversion"/>
  </si>
  <si>
    <t>평균매입채무</t>
    <phoneticPr fontId="7" type="noConversion"/>
  </si>
  <si>
    <t>매입채무회전율</t>
  </si>
  <si>
    <t>매입채무지급기일</t>
    <phoneticPr fontId="7" type="noConversion"/>
  </si>
  <si>
    <t>대손충당금</t>
  </si>
  <si>
    <t>제품평가충당금</t>
  </si>
  <si>
    <t>상품평가충당금</t>
  </si>
  <si>
    <t>재공품평가충당금</t>
  </si>
  <si>
    <t>원재료평가충당금</t>
  </si>
  <si>
    <t>개발비</t>
  </si>
  <si>
    <t>기타의무형자산</t>
  </si>
  <si>
    <t>통화선도거래이익</t>
  </si>
  <si>
    <t>당기(회사제시)</t>
    <phoneticPr fontId="7" type="noConversion"/>
  </si>
  <si>
    <t>이자보상비율(당반기/전반기)</t>
    <phoneticPr fontId="7" type="noConversion"/>
  </si>
  <si>
    <t>상품매출액</t>
    <phoneticPr fontId="7" type="noConversion"/>
  </si>
  <si>
    <t>(1) 급여/퇴직급여</t>
    <phoneticPr fontId="7" type="noConversion"/>
  </si>
  <si>
    <t>(2) 감가상각비</t>
    <phoneticPr fontId="7" type="noConversion"/>
  </si>
  <si>
    <t>상품</t>
    <phoneticPr fontId="7" type="noConversion"/>
  </si>
  <si>
    <t>평가충당금_상품</t>
    <phoneticPr fontId="7" type="noConversion"/>
  </si>
  <si>
    <t>제품(*)</t>
    <phoneticPr fontId="3" type="noConversion"/>
  </si>
  <si>
    <t>원재료</t>
    <phoneticPr fontId="3" type="noConversion"/>
  </si>
  <si>
    <t>3) 상품</t>
    <phoneticPr fontId="3" type="noConversion"/>
  </si>
  <si>
    <t>상품매출원가(연환산)</t>
    <phoneticPr fontId="3" type="noConversion"/>
  </si>
  <si>
    <t>기초상품</t>
    <phoneticPr fontId="3" type="noConversion"/>
  </si>
  <si>
    <t>기말상품</t>
    <phoneticPr fontId="3" type="noConversion"/>
  </si>
  <si>
    <t>평균상품</t>
    <phoneticPr fontId="3" type="noConversion"/>
  </si>
  <si>
    <t>7. 매입채무</t>
    <phoneticPr fontId="7" type="noConversion"/>
  </si>
  <si>
    <t>무형자산처분이익</t>
  </si>
  <si>
    <t>비품감가상각누계액</t>
  </si>
  <si>
    <t>상품매출총이익</t>
    <phoneticPr fontId="7" type="noConversion"/>
  </si>
  <si>
    <t>상품매출총이익율</t>
    <phoneticPr fontId="7" type="noConversion"/>
  </si>
  <si>
    <t>3) 상품매출총이익율</t>
    <phoneticPr fontId="7" type="noConversion"/>
  </si>
  <si>
    <t>사업양수도</t>
    <phoneticPr fontId="3" type="noConversion"/>
  </si>
  <si>
    <t>Ⅰ.유동자산</t>
  </si>
  <si>
    <t>(1)현금및현금성자산</t>
  </si>
  <si>
    <t>현금</t>
  </si>
  <si>
    <t>현금성자산</t>
  </si>
  <si>
    <t>(2)매출채권및기타유동채권</t>
  </si>
  <si>
    <t>미수금_국고보조금</t>
  </si>
  <si>
    <t>단기대여금및수취채권</t>
  </si>
  <si>
    <t>(3)기타유동자산</t>
  </si>
  <si>
    <t>가지급금</t>
  </si>
  <si>
    <t>부가세환급금</t>
  </si>
  <si>
    <t>반품회수권자산</t>
  </si>
  <si>
    <t>(4)기타유동금융자산</t>
  </si>
  <si>
    <t>파생상품자산</t>
  </si>
  <si>
    <t>(5)재고자산</t>
  </si>
  <si>
    <t>미착품</t>
  </si>
  <si>
    <t>부재료</t>
  </si>
  <si>
    <t>저장품</t>
  </si>
  <si>
    <t>(6)매각예정비유동자산</t>
  </si>
  <si>
    <t>매각예정비유동자산</t>
  </si>
  <si>
    <t>Ⅱ.비유동자산</t>
  </si>
  <si>
    <t>(1)기타비유동채권</t>
  </si>
  <si>
    <t>장기대여금및수취채권</t>
  </si>
  <si>
    <t>(2)매도가능금융자산</t>
  </si>
  <si>
    <t>매도가능금융자산</t>
  </si>
  <si>
    <t>(3)유형자산</t>
  </si>
  <si>
    <t>토지_국고보조금</t>
  </si>
  <si>
    <t>기계감가상각누계액</t>
  </si>
  <si>
    <t>기계장치_국고보조금</t>
  </si>
  <si>
    <t>시설장치</t>
  </si>
  <si>
    <t>시설감가상각누계액</t>
  </si>
  <si>
    <t>시설장치_국고보조금</t>
  </si>
  <si>
    <t>차량감가상각누계액</t>
  </si>
  <si>
    <t>차량운반구_국고보조금</t>
  </si>
  <si>
    <t>공기구감가상각누계액</t>
  </si>
  <si>
    <t>공구와기구_국고보조금</t>
  </si>
  <si>
    <t>비품_국고보조금</t>
  </si>
  <si>
    <t>건설중인자산_국고보조금</t>
  </si>
  <si>
    <t>(4)무형자산</t>
  </si>
  <si>
    <t>특허권</t>
  </si>
  <si>
    <t>특허권_국고보조금</t>
  </si>
  <si>
    <t>상표권</t>
  </si>
  <si>
    <t>의장권</t>
  </si>
  <si>
    <t>소프트웨어</t>
  </si>
  <si>
    <t>소프트웨어_국고보조금</t>
  </si>
  <si>
    <t>(5)사용권자산</t>
  </si>
  <si>
    <t>(6)이연법인세자산</t>
  </si>
  <si>
    <t>이연법인세자산(비유동)</t>
  </si>
  <si>
    <t>(7)종속기업및관계기업투자자산</t>
  </si>
  <si>
    <t>종속기업에대한투자자산</t>
  </si>
  <si>
    <t>관계기업투자자산</t>
  </si>
  <si>
    <t>(8)기타비유동자산</t>
  </si>
  <si>
    <t>장기선급비용</t>
  </si>
  <si>
    <t>(9)기타비유동금융자산</t>
  </si>
  <si>
    <t>만기보유금융자산</t>
  </si>
  <si>
    <t>Ⅰ.유동부채</t>
  </si>
  <si>
    <t>(1)매입채무및기타유동채무</t>
  </si>
  <si>
    <t>(2)차입금</t>
  </si>
  <si>
    <t>유동성장기차입금</t>
  </si>
  <si>
    <t>사채</t>
  </si>
  <si>
    <t>사채발행차금</t>
  </si>
  <si>
    <t>전환사채</t>
  </si>
  <si>
    <t>전환사채상환할증금</t>
  </si>
  <si>
    <t>전환권조정</t>
  </si>
  <si>
    <t>신주인수권부사채</t>
  </si>
  <si>
    <t>사채상환할증금</t>
  </si>
  <si>
    <t>신주인수권조정</t>
  </si>
  <si>
    <t>교환사채</t>
  </si>
  <si>
    <t>교환사채상환할증금</t>
  </si>
  <si>
    <t>교환권조정</t>
  </si>
  <si>
    <t>(3)충당부채</t>
  </si>
  <si>
    <t>반품충당부채</t>
  </si>
  <si>
    <t>환불부채</t>
  </si>
  <si>
    <t>채무보증충당부채</t>
  </si>
  <si>
    <t>(4)기타부채</t>
  </si>
  <si>
    <t>부가세예수금</t>
  </si>
  <si>
    <t>(5)계약부채</t>
  </si>
  <si>
    <t>계약부채</t>
  </si>
  <si>
    <t>(6)기타유동금융부채</t>
  </si>
  <si>
    <t>파생상품부채</t>
  </si>
  <si>
    <t>(7)유동리스부채</t>
  </si>
  <si>
    <t>유동리스부채</t>
  </si>
  <si>
    <t>Ⅱ.비유동부채</t>
  </si>
  <si>
    <t>(1)장기매입채무및기타비유동채무</t>
  </si>
  <si>
    <t>장기미지급비용</t>
  </si>
  <si>
    <t>임대보증금</t>
  </si>
  <si>
    <t>장기차입금</t>
  </si>
  <si>
    <t>(3)확정급여채무</t>
  </si>
  <si>
    <t>사외적립자산</t>
  </si>
  <si>
    <t>(4)기타비유동금융부채</t>
  </si>
  <si>
    <t>(5)이연법인세부채</t>
  </si>
  <si>
    <t>이연법인세부채</t>
  </si>
  <si>
    <t>(6)비유동리스부채</t>
  </si>
  <si>
    <t>비유동리스부채</t>
  </si>
  <si>
    <t>Ⅰ.자본금</t>
  </si>
  <si>
    <t>Ⅱ.자본잉여금</t>
  </si>
  <si>
    <t>Ⅲ.기타자본</t>
  </si>
  <si>
    <t>자기주식처분손실</t>
  </si>
  <si>
    <t>주식매입선택권</t>
  </si>
  <si>
    <t>기타자본조정</t>
  </si>
  <si>
    <t>Ⅳ.기타포괄손익누계액</t>
  </si>
  <si>
    <t>공정가치측정금융자산평가손익</t>
  </si>
  <si>
    <t>Ⅴ.이익잉여금</t>
  </si>
  <si>
    <t>재무구조개선적립금</t>
  </si>
  <si>
    <t>이익준비금</t>
  </si>
  <si>
    <t>지분법이익잉여금</t>
  </si>
  <si>
    <t>기초상품재고액</t>
  </si>
  <si>
    <t>당기상품매입액</t>
  </si>
  <si>
    <t>타계정에서대체액</t>
  </si>
  <si>
    <t>관세환급금</t>
  </si>
  <si>
    <t>타계정으로대체액</t>
  </si>
  <si>
    <t>기말제품재고액</t>
  </si>
  <si>
    <t>직원급여</t>
  </si>
  <si>
    <t>상여금</t>
  </si>
  <si>
    <t>제수당</t>
  </si>
  <si>
    <t>잡급</t>
  </si>
  <si>
    <t>세금과공과금</t>
  </si>
  <si>
    <t>사용권상각비</t>
  </si>
  <si>
    <t>경상연구개발비</t>
  </si>
  <si>
    <t>포장비</t>
  </si>
  <si>
    <t>무형고정자산상각</t>
  </si>
  <si>
    <t>주식보상비용</t>
  </si>
  <si>
    <t>대손충당금환입</t>
  </si>
  <si>
    <t>수입수수료</t>
  </si>
  <si>
    <t>투자자산처분이익</t>
  </si>
  <si>
    <t>수입임대료</t>
  </si>
  <si>
    <t>유형자산폐기손실</t>
  </si>
  <si>
    <t>투자자산손상차손</t>
  </si>
  <si>
    <t>투자자산처분손실</t>
  </si>
  <si>
    <t>파생상품거래이익</t>
  </si>
  <si>
    <t>사채상환이익</t>
  </si>
  <si>
    <t>매도가능증권처분이익</t>
  </si>
  <si>
    <t>매도가능증권평가이익</t>
  </si>
  <si>
    <t>파생상품이익</t>
  </si>
  <si>
    <t>만기보유증권평가이익</t>
  </si>
  <si>
    <t>배당금수익</t>
  </si>
  <si>
    <t>사채상환손실</t>
  </si>
  <si>
    <t>파생상품거래손실</t>
  </si>
  <si>
    <t>파생상품평가손실</t>
  </si>
  <si>
    <t>매도가능증권평가손실</t>
  </si>
  <si>
    <t>매도가능증권손상차손</t>
  </si>
  <si>
    <t>매도가능증권처분손실</t>
  </si>
  <si>
    <t>만기보유증권평가손실</t>
  </si>
  <si>
    <t>채무보증손실</t>
  </si>
  <si>
    <t>후속적으로당기손익으로재분류되는
기타포괄손익</t>
    <phoneticPr fontId="7" type="noConversion"/>
  </si>
  <si>
    <t>후속적으로당기손익으로재분류되지
않는기타포괄손익</t>
    <phoneticPr fontId="7" type="noConversion"/>
  </si>
  <si>
    <t>확정급여제도의보험수리적손익</t>
  </si>
  <si>
    <t>지분법이익잉여금변동</t>
  </si>
  <si>
    <t>유형자산재평가손익</t>
  </si>
  <si>
    <t>기초원재료재고액</t>
  </si>
  <si>
    <t>당기원재료매입액</t>
  </si>
  <si>
    <t>타계정에서입고액</t>
  </si>
  <si>
    <t>타계정으로출고액</t>
  </si>
  <si>
    <t>기말원재료재고액</t>
  </si>
  <si>
    <t>용역급여</t>
  </si>
  <si>
    <t>부재료비</t>
    <phoneticPr fontId="7" type="noConversion"/>
  </si>
  <si>
    <t>외주가공비</t>
  </si>
  <si>
    <t>시험연구비</t>
  </si>
  <si>
    <t>타계정으로대체액</t>
    <phoneticPr fontId="7" type="noConversion"/>
  </si>
  <si>
    <t>매출채권 및 기타채권</t>
  </si>
  <si>
    <t>매출채권 및 기타채권</t>
    <phoneticPr fontId="7" type="noConversion"/>
  </si>
  <si>
    <t>기타유동금융자산</t>
  </si>
  <si>
    <t>기타유동금융자산</t>
    <phoneticPr fontId="7" type="noConversion"/>
  </si>
  <si>
    <t>재고자산</t>
    <phoneticPr fontId="7" type="noConversion"/>
  </si>
  <si>
    <t>기타유동자산</t>
    <phoneticPr fontId="7" type="noConversion"/>
  </si>
  <si>
    <t>당기법인세자산</t>
    <phoneticPr fontId="7" type="noConversion"/>
  </si>
  <si>
    <t>매출채권 및 기타비유동채권</t>
  </si>
  <si>
    <t>매출채권 및 기타비유동채권</t>
    <phoneticPr fontId="7" type="noConversion"/>
  </si>
  <si>
    <t>장기투자자산</t>
    <phoneticPr fontId="7" type="noConversion"/>
  </si>
  <si>
    <t>유형자산</t>
    <phoneticPr fontId="7" type="noConversion"/>
  </si>
  <si>
    <t>무형자산</t>
    <phoneticPr fontId="7" type="noConversion"/>
  </si>
  <si>
    <t>종속 및 관계기업투자</t>
  </si>
  <si>
    <t>종속 및 관계기업투자</t>
    <phoneticPr fontId="7" type="noConversion"/>
  </si>
  <si>
    <t>기타비유동자산</t>
    <phoneticPr fontId="7" type="noConversion"/>
  </si>
  <si>
    <t>기타비유동금융자산</t>
  </si>
  <si>
    <t>기타비유동금융자산</t>
    <phoneticPr fontId="7" type="noConversion"/>
  </si>
  <si>
    <t>매입채무 및 기타채무</t>
  </si>
  <si>
    <t>매입채무 및 기타채무</t>
    <phoneticPr fontId="7" type="noConversion"/>
  </si>
  <si>
    <t>차입금</t>
  </si>
  <si>
    <t>차입금</t>
    <phoneticPr fontId="7" type="noConversion"/>
  </si>
  <si>
    <t>기타유동금융부채</t>
  </si>
  <si>
    <t>기타유동금융부채</t>
    <phoneticPr fontId="7" type="noConversion"/>
  </si>
  <si>
    <t>기타부채</t>
  </si>
  <si>
    <t>기타부채</t>
    <phoneticPr fontId="7" type="noConversion"/>
  </si>
  <si>
    <t>유동리스부채</t>
    <phoneticPr fontId="7" type="noConversion"/>
  </si>
  <si>
    <t>순확정급여부채</t>
  </si>
  <si>
    <t>순확정급여부채</t>
    <phoneticPr fontId="7" type="noConversion"/>
  </si>
  <si>
    <t>비유동리스부채</t>
    <phoneticPr fontId="7" type="noConversion"/>
  </si>
  <si>
    <t>기타비유동금융부채</t>
  </si>
  <si>
    <t>기타비유동금융부채</t>
    <phoneticPr fontId="7" type="noConversion"/>
  </si>
  <si>
    <t>자본금</t>
    <phoneticPr fontId="7" type="noConversion"/>
  </si>
  <si>
    <t>기타불입자본</t>
  </si>
  <si>
    <t>기타불입자본</t>
    <phoneticPr fontId="7" type="noConversion"/>
  </si>
  <si>
    <t>기타자본구성요소</t>
  </si>
  <si>
    <t>기타자본구성요소</t>
    <phoneticPr fontId="7" type="noConversion"/>
  </si>
  <si>
    <t>이익잉여금</t>
    <phoneticPr fontId="7" type="noConversion"/>
  </si>
  <si>
    <t>제 33(당) 반기 2024년 06월 30일 현재</t>
    <phoneticPr fontId="3" type="noConversion"/>
  </si>
  <si>
    <t>제 32(전)    기 2023년 12월 31일 현재</t>
    <phoneticPr fontId="3" type="noConversion"/>
  </si>
  <si>
    <t>제 33(당) 반기말</t>
    <phoneticPr fontId="3" type="noConversion"/>
  </si>
  <si>
    <t>제 32(전) 기말</t>
    <phoneticPr fontId="3" type="noConversion"/>
  </si>
  <si>
    <t>장기투자자산</t>
  </si>
  <si>
    <t>현금 및 현금성자산</t>
  </si>
  <si>
    <t>당기법인세자산</t>
  </si>
  <si>
    <t>기타비유동자산</t>
  </si>
  <si>
    <t>35,36</t>
  </si>
  <si>
    <t>5,34,35,36</t>
  </si>
  <si>
    <t>6,36</t>
  </si>
  <si>
    <t>8,35,36</t>
  </si>
  <si>
    <t>11,12,14,33</t>
  </si>
  <si>
    <t>15,19,34,35,36</t>
  </si>
  <si>
    <t>16,33,35,36</t>
  </si>
  <si>
    <t>17,35,36</t>
  </si>
  <si>
    <t>15,19,35,36</t>
  </si>
  <si>
    <t>매입채무 및 기타비유동채무</t>
  </si>
  <si>
    <t>매입채무 및 기타비유동채무</t>
    <phoneticPr fontId="7" type="noConversion"/>
  </si>
  <si>
    <t>비유동차입금</t>
  </si>
  <si>
    <t>비유동차입금</t>
    <phoneticPr fontId="7" type="noConversion"/>
  </si>
  <si>
    <t>III. 기타자본</t>
    <phoneticPr fontId="3" type="noConversion"/>
  </si>
  <si>
    <t>제 33(당) 반기 2024년 1월 1일부터 2024년 06월 30일까지</t>
    <phoneticPr fontId="3" type="noConversion"/>
  </si>
  <si>
    <t>제 32(전) 반기 2023년 1월 1일부터 2023년 06월 30일까지</t>
    <phoneticPr fontId="3" type="noConversion"/>
  </si>
  <si>
    <t>제 33(당) 반기</t>
    <phoneticPr fontId="3" type="noConversion"/>
  </si>
  <si>
    <t>제 32(전) 반기</t>
    <phoneticPr fontId="3" type="noConversion"/>
  </si>
  <si>
    <t>4,24,34</t>
  </si>
  <si>
    <t>7,25,26</t>
  </si>
  <si>
    <t>25,27,34</t>
  </si>
  <si>
    <t>29,35</t>
  </si>
  <si>
    <t>10,30</t>
  </si>
  <si>
    <t>10,22</t>
  </si>
  <si>
    <t>10,23</t>
  </si>
  <si>
    <t>종속기업및관계기업투자주식관련손익</t>
  </si>
  <si>
    <t>종속기업및관계기업투자주식관련손익</t>
    <phoneticPr fontId="3" type="noConversion"/>
  </si>
  <si>
    <t>종속기업및관계기업투자주식관련손익</t>
    <phoneticPr fontId="7" type="noConversion"/>
  </si>
  <si>
    <t>지분법자본변동 이익잉여금</t>
  </si>
  <si>
    <t>지분법자본변동 이익잉여금</t>
    <phoneticPr fontId="3" type="noConversion"/>
  </si>
  <si>
    <t>지분법 자본변동</t>
  </si>
  <si>
    <t>2023.01.01(전기초)</t>
    <phoneticPr fontId="3" type="noConversion"/>
  </si>
  <si>
    <t>기타자본</t>
    <phoneticPr fontId="3" type="noConversion"/>
  </si>
  <si>
    <t>이익잉여금(결손금)</t>
    <phoneticPr fontId="3" type="noConversion"/>
  </si>
  <si>
    <t>전기 오류 수정</t>
    <phoneticPr fontId="3" type="noConversion"/>
  </si>
  <si>
    <t>2023.01.01(전기초) (조정후)</t>
    <phoneticPr fontId="3" type="noConversion"/>
  </si>
  <si>
    <t xml:space="preserve">  지분법자본변동 이익잉여금</t>
    <phoneticPr fontId="3" type="noConversion"/>
  </si>
  <si>
    <t xml:space="preserve">  확정급여제도의 재측정손익</t>
    <phoneticPr fontId="3" type="noConversion"/>
  </si>
  <si>
    <t>총포괄이익</t>
    <phoneticPr fontId="3" type="noConversion"/>
  </si>
  <si>
    <t xml:space="preserve">  주식선택권의 소멸</t>
    <phoneticPr fontId="3" type="noConversion"/>
  </si>
  <si>
    <t>2023.06.30(전반기말)</t>
    <phoneticPr fontId="3" type="noConversion"/>
  </si>
  <si>
    <t>2024.01.01(당기초)</t>
    <phoneticPr fontId="3" type="noConversion"/>
  </si>
  <si>
    <t xml:space="preserve">  지분법이익잉여금 변동</t>
    <phoneticPr fontId="3" type="noConversion"/>
  </si>
  <si>
    <t xml:space="preserve">  1. 영업에서 창출된 현금흐름 </t>
    <phoneticPr fontId="43" type="noConversion"/>
  </si>
  <si>
    <t xml:space="preserve">  2. 이자의 수취 </t>
    <phoneticPr fontId="43" type="noConversion"/>
  </si>
  <si>
    <t xml:space="preserve">  3. 이자의 지급 </t>
    <phoneticPr fontId="43" type="noConversion"/>
  </si>
  <si>
    <t xml:space="preserve">  4. 법인세의 납부 </t>
    <phoneticPr fontId="43" type="noConversion"/>
  </si>
  <si>
    <t xml:space="preserve">  5. 배당금 수취</t>
    <phoneticPr fontId="3" type="noConversion"/>
  </si>
  <si>
    <t>    단기대여금의 감소</t>
  </si>
  <si>
    <t>    기타유동금융자산의 감소</t>
  </si>
  <si>
    <t>    장기대여금의 감소</t>
  </si>
  <si>
    <t>    매도가능금융자산의 처분</t>
  </si>
  <si>
    <t>    장기투자자산의 처분</t>
  </si>
  <si>
    <t>    유형자산의 처분</t>
  </si>
  <si>
    <t>    정부보조금의 수령</t>
  </si>
  <si>
    <t xml:space="preserve">    임대보증금의 수령</t>
  </si>
  <si>
    <t xml:space="preserve">    사업결합에 따른 순현금흐름</t>
  </si>
  <si>
    <t>    보증금의 회수</t>
  </si>
  <si>
    <t>    종속기업주식의 처분</t>
  </si>
  <si>
    <t>    관계기업주식의 처분</t>
  </si>
  <si>
    <t xml:space="preserve">  1. 투자활동으로 인한 현금유입액</t>
    <phoneticPr fontId="3" type="noConversion"/>
  </si>
  <si>
    <t xml:space="preserve">  2. 투자활동으로 인한 현금유출액</t>
    <phoneticPr fontId="3" type="noConversion"/>
  </si>
  <si>
    <t>    단기대여금의 증가</t>
  </si>
  <si>
    <t>    기타유동금융자산의 취득</t>
  </si>
  <si>
    <t>    장기대여금의 증가</t>
  </si>
  <si>
    <t>    장기금융상품의 취득</t>
  </si>
  <si>
    <t>    매도가능금융자산의 취득</t>
  </si>
  <si>
    <t>    만기보유금융자산의 취득</t>
  </si>
  <si>
    <t>    장기투자자산의 취득</t>
  </si>
  <si>
    <t>    유형자산의 취득</t>
  </si>
  <si>
    <t>    무형자산의 취득</t>
  </si>
  <si>
    <t>    사업분할에 따른 순현금흐름</t>
  </si>
  <si>
    <t>    보증금의 증가</t>
  </si>
  <si>
    <t>    종속기업주식의 취득</t>
  </si>
  <si>
    <t>    관계기업주식의 취득</t>
  </si>
  <si>
    <t xml:space="preserve">  1. 재무활동으로 인한 현금유입액</t>
    <phoneticPr fontId="3" type="noConversion"/>
  </si>
  <si>
    <t>   차입금의 증가</t>
  </si>
  <si>
    <t>   사채의 발행</t>
  </si>
  <si>
    <t>   전환사채의 발행</t>
  </si>
  <si>
    <t>   신주인수권의 행사</t>
  </si>
  <si>
    <t>   주식선택권의 행사</t>
  </si>
  <si>
    <t>   정부보조금의 수령</t>
  </si>
  <si>
    <t xml:space="preserve">  2. 재무활동으로 인한 현금유출액</t>
    <phoneticPr fontId="3" type="noConversion"/>
  </si>
  <si>
    <t>   차입금의 상환</t>
  </si>
  <si>
    <t>   사채의 상환</t>
  </si>
  <si>
    <t>   전환사채발행비용</t>
  </si>
  <si>
    <t>   사채발행비용</t>
  </si>
  <si>
    <t xml:space="preserve">   신주인수권부사채의 상환</t>
  </si>
  <si>
    <t xml:space="preserve">   교환사채의 상환</t>
  </si>
  <si>
    <t xml:space="preserve">   정부보조금의 반환</t>
  </si>
  <si>
    <t>   리스료의 지급</t>
  </si>
  <si>
    <t xml:space="preserve">   주식발행비용</t>
  </si>
  <si>
    <t xml:space="preserve"> V.현금및현금성자산의 순증가(감소)(I+II+III+IV)</t>
    <phoneticPr fontId="3" type="noConversion"/>
  </si>
  <si>
    <t xml:space="preserve"> VI.기초현금및현금성자산</t>
    <phoneticPr fontId="3" type="noConversion"/>
  </si>
  <si>
    <t xml:space="preserve"> VII.기말현금및현금성자산</t>
    <phoneticPr fontId="3" type="noConversion"/>
  </si>
  <si>
    <t>Planning Analytical Review</t>
    <phoneticPr fontId="7" type="noConversion"/>
  </si>
  <si>
    <t>타계정에서대체액(상품)</t>
  </si>
  <si>
    <t>타계정으로대체액(상품)</t>
  </si>
  <si>
    <t>기말상품재고액</t>
  </si>
  <si>
    <t>법인세비용차감전순이익(손실)</t>
    <phoneticPr fontId="7" type="noConversion"/>
  </si>
  <si>
    <t>당기 기간(개월)</t>
  </si>
  <si>
    <t>전기 기간(개월)</t>
  </si>
  <si>
    <t>[회사명]</t>
  </si>
  <si>
    <t>공시계정</t>
  </si>
  <si>
    <t>이 파일은 계획단계 분석적 검토(FAR) 표준 양식의 비식별 마스터입니다. 원본을 직접 수정하지 말고 사본을 만들어 사용하세요.</t>
  </si>
  <si>
    <t>■ 입력 셀은 연한 노란색입니다. 그 외 셀은 수식이므로 덮어쓰지 마세요.</t>
  </si>
  <si>
    <t>■ FAR 시트: 당기(회사제시)=G열, 전기=K열, 조정분개 Dr/Cr=H·I열, 질적 판단=Q열.</t>
  </si>
  <si>
    <t>■ 기간(개월): FAR 시트 P5(당기), P6(전기)에 입력합니다. 연환산 계산(회전율, 유의성 판정 등)이 이 값을 사용하며, 비어 있으면 Q5에 알림이 표시됩니다.</t>
  </si>
  <si>
    <t>■ 전전기 기말 잔액 입력: H451(매출채권), H483(원재료), H494(제품), H505(상품), H517(매입채무).</t>
  </si>
  <si>
    <t>■ 회사명은 G5에 입력합니다. 공시 시트의 제목 문구(기수, 기준일 등)는 사용할 때 직접 수정하세요.</t>
  </si>
  <si>
    <t>■ 설명란(T열)과 분석 코멘트는 근거가 확인된 사실만 작성하고, 원인이 확인되지 않으면 원인 확인 필요로 표기하세요.</t>
  </si>
  <si>
    <t>[원본 대비 변경사항]</t>
  </si>
  <si>
    <t>1) 회사명, 담당자, 설명 문구, 금액 입력값을 삭제하고 주석(FN)과 분개장 시트를 삭제했습니다.</t>
  </si>
  <si>
    <t>2) 반기 고정 산식(/6*12)을 기간(개월) 입력값 기준으로 변경했습니다.</t>
  </si>
  <si>
    <t>3) 분석 파트 머리글 날짜를 당기/전기 기준일에 연결하고, 전기 연환산 하드코딩 값(I450, I482, I493, I504)을 수식으로 바꿨습니다.</t>
  </si>
  <si>
    <t>4) 공시IS D28, F28(주석 참조 수식)은 삭제하고 비웠습니다.</t>
  </si>
  <si>
    <t>5) 정의된 이름 중 외부 파일 참조와 오류 참조 항목을 삭제하고 문서 개인정보를 제거했습니다.</t>
  </si>
  <si>
    <t>6) 계정명 열 머리글 IFRS 계정명을 공시계정으로 변경하고, 사용하지 않는 APT 코드 열(D열)을 삭제했습니다(열 위치가 원본보다 한 칸 왼쪽입니다).</t>
  </si>
  <si>
    <t>7) 왜곡표시 시트: 항목별 블록(제목, 설명, Dr/Cr 계정 행)을 7~61행에 입력합니다. 합계와 정산표 대사는 62~67행 수식이 계산하며, 원본의 고객사별 사례는 모두 삭제했습니다.</t>
  </si>
  <si>
    <t>8) 공시IS, 공시CIE, 공시CF 시트의 노란색 셀은 비교표시, 자본변동, 현금흐름 금액 등을 직접 입력하는 칸입니다. 원본의 고객사 금액은 모두 삭제했습니다.</t>
  </si>
  <si>
    <t>(+)당기</t>
    <phoneticPr fontId="7" type="noConversion"/>
  </si>
  <si>
    <t>(-)전기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</si>
</sst>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4" formatCode="_-&quot;₩&quot;* #,##0.00_-;\-&quot;₩&quot;* #,##0.00_-;_-&quot;₩&quot;* &quot;-&quot;??_-;_-@_-"/>
    <numFmt numFmtId="176" formatCode="yyyy&quot;년&quot;\ m&quot;월&quot;\ d&quot;일&quot;;@"/>
    <numFmt numFmtId="177" formatCode="_(* #,##0_);_(* \(#,##0\);_(* &quot;-&quot;_);_(@_)"/>
    <numFmt numFmtId="178" formatCode="_(&quot;$&quot;* #,##0_);_(&quot;$&quot;* \(#,##0\);_(&quot;$&quot;* &quot;-&quot;_);_(@_)"/>
    <numFmt numFmtId="179" formatCode="#,##0;\(#,##0\);\-"/>
    <numFmt numFmtId="180" formatCode="#,##0.00;\(#,##0.00\);\-"/>
    <numFmt numFmtId="181" formatCode="#,##0;[Red]\(#,##0\);\-"/>
    <numFmt numFmtId="182" formatCode="#,###;[Red]\(#,###\);\-"/>
    <numFmt numFmtId="183" formatCode="&quot;US$&quot;#,##0.00_);\(&quot;US$&quot;#,##0.00\)"/>
    <numFmt numFmtId="184" formatCode="_ * #,##0_ ;_ * \-#,##0_ ;_ * &quot;-&quot;_ ;_ @_ "/>
    <numFmt numFmtId="185" formatCode="#,##0_);\(#,##0\)"/>
    <numFmt numFmtId="186" formatCode="d\ mmmm\ yyyy"/>
    <numFmt numFmtId="187" formatCode="###,##0"/>
    <numFmt numFmtId="188" formatCode="#,##0\ ;\(#,##0\);\-"/>
    <numFmt numFmtId="189" formatCode="#,##0_-;\(#,##0\)_-;&quot;-&quot;_0"/>
  </numFmts>
  <fonts count="62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0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0"/>
      <name val="가는각진제목체"/>
      <family val="1"/>
      <charset val="129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u/>
      <sz val="14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0"/>
      <color rgb="FF00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rgb="FF685040"/>
      <name val="맑은 고딕"/>
      <family val="3"/>
      <charset val="129"/>
      <scheme val="minor"/>
    </font>
    <font>
      <sz val="10"/>
      <color rgb="FF68504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8"/>
      <name val="Arial"/>
      <family val="2"/>
      <charset val="129"/>
    </font>
    <font>
      <sz val="10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sz val="8"/>
      <name val="바탕"/>
      <family val="1"/>
      <charset val="129"/>
    </font>
    <font>
      <b/>
      <i/>
      <u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u/>
      <sz val="9"/>
      <color theme="10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1A3B"/>
        <bgColor indexed="64"/>
      </patternFill>
    </fill>
    <fill>
      <patternFill patternType="solid">
        <fgColor rgb="FFC0E9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/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24994659260841701"/>
      </left>
      <right/>
      <top/>
      <bottom/>
      <diagonal/>
    </border>
    <border>
      <left/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4">
    <xf numFmtId="0" fontId="0" fillId="0" borderId="0">
      <alignment vertical="center"/>
    </xf>
    <xf numFmtId="0" fontId="4" fillId="0" borderId="0">
      <alignment vertical="center"/>
    </xf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9" fillId="0" borderId="0"/>
    <xf numFmtId="0" fontId="11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/>
    <xf numFmtId="0" fontId="19" fillId="0" borderId="0"/>
    <xf numFmtId="0" fontId="19" fillId="0" borderId="0"/>
    <xf numFmtId="184" fontId="16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0" fontId="9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4" fillId="0" borderId="0">
      <alignment vertical="center"/>
    </xf>
    <xf numFmtId="0" fontId="39" fillId="0" borderId="0"/>
    <xf numFmtId="0" fontId="2" fillId="0" borderId="0">
      <alignment vertical="center"/>
    </xf>
    <xf numFmtId="0" fontId="4" fillId="0" borderId="0">
      <alignment vertical="center"/>
    </xf>
    <xf numFmtId="41" fontId="11" fillId="0" borderId="0" applyFont="0" applyFill="0" applyBorder="0" applyAlignment="0" applyProtection="0"/>
    <xf numFmtId="0" fontId="1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/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/>
    <xf numFmtId="0" fontId="11" fillId="0" borderId="0"/>
  </cellStyleXfs>
  <cellXfs count="417">
    <xf numFmtId="0" fontId="0" fillId="0" borderId="0" xfId="0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 readingOrder="1"/>
    </xf>
    <xf numFmtId="179" fontId="23" fillId="0" borderId="0" xfId="11" applyNumberFormat="1" applyFont="1" applyAlignment="1">
      <alignment vertical="center"/>
    </xf>
    <xf numFmtId="0" fontId="24" fillId="0" borderId="0" xfId="11" applyFont="1" applyAlignment="1">
      <alignment horizontal="left" vertical="center"/>
    </xf>
    <xf numFmtId="0" fontId="25" fillId="0" borderId="0" xfId="11" applyFont="1" applyAlignment="1">
      <alignment vertical="center"/>
    </xf>
    <xf numFmtId="0" fontId="25" fillId="0" borderId="0" xfId="11" applyFont="1" applyAlignment="1">
      <alignment vertical="center" wrapText="1"/>
    </xf>
    <xf numFmtId="0" fontId="8" fillId="0" borderId="0" xfId="11" applyFont="1" applyAlignment="1">
      <alignment horizontal="left" vertical="center"/>
    </xf>
    <xf numFmtId="0" fontId="26" fillId="0" borderId="0" xfId="11" applyFont="1" applyAlignment="1">
      <alignment horizontal="left" vertical="center"/>
    </xf>
    <xf numFmtId="179" fontId="25" fillId="0" borderId="0" xfId="11" applyNumberFormat="1" applyFont="1" applyAlignment="1">
      <alignment vertical="center"/>
    </xf>
    <xf numFmtId="0" fontId="21" fillId="0" borderId="0" xfId="11" applyFont="1" applyAlignment="1">
      <alignment vertical="center"/>
    </xf>
    <xf numFmtId="0" fontId="21" fillId="0" borderId="0" xfId="11" applyFont="1" applyAlignment="1">
      <alignment vertical="center" wrapText="1"/>
    </xf>
    <xf numFmtId="0" fontId="28" fillId="0" borderId="0" xfId="36" applyFont="1" applyAlignment="1">
      <alignment vertical="center"/>
    </xf>
    <xf numFmtId="0" fontId="28" fillId="0" borderId="0" xfId="37" applyFont="1" applyAlignment="1">
      <alignment vertical="center"/>
    </xf>
    <xf numFmtId="179" fontId="21" fillId="0" borderId="0" xfId="10" applyNumberFormat="1" applyFont="1">
      <alignment vertical="center"/>
    </xf>
    <xf numFmtId="0" fontId="29" fillId="4" borderId="33" xfId="0" applyFont="1" applyFill="1" applyBorder="1">
      <alignment vertical="center"/>
    </xf>
    <xf numFmtId="0" fontId="29" fillId="0" borderId="0" xfId="0" applyFont="1" applyAlignment="1">
      <alignment horizontal="center" vertical="center"/>
    </xf>
    <xf numFmtId="0" fontId="29" fillId="4" borderId="34" xfId="0" applyFont="1" applyFill="1" applyBorder="1">
      <alignment vertical="center"/>
    </xf>
    <xf numFmtId="14" fontId="29" fillId="4" borderId="34" xfId="0" applyNumberFormat="1" applyFont="1" applyFill="1" applyBorder="1">
      <alignment vertical="center"/>
    </xf>
    <xf numFmtId="0" fontId="29" fillId="4" borderId="0" xfId="38" applyFont="1" applyFill="1" applyAlignment="1">
      <alignment horizontal="center" vertical="center" shrinkToFit="1"/>
    </xf>
    <xf numFmtId="14" fontId="29" fillId="4" borderId="0" xfId="38" applyNumberFormat="1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vertical="center"/>
    </xf>
    <xf numFmtId="0" fontId="29" fillId="4" borderId="35" xfId="0" applyFont="1" applyFill="1" applyBorder="1">
      <alignment vertical="center"/>
    </xf>
    <xf numFmtId="179" fontId="30" fillId="6" borderId="25" xfId="34" applyNumberFormat="1" applyFont="1" applyFill="1" applyBorder="1" applyAlignment="1">
      <alignment horizontal="right" vertical="center"/>
    </xf>
    <xf numFmtId="0" fontId="30" fillId="6" borderId="25" xfId="38" applyFont="1" applyFill="1" applyBorder="1" applyAlignment="1">
      <alignment horizontal="center" vertical="center"/>
    </xf>
    <xf numFmtId="0" fontId="31" fillId="0" borderId="0" xfId="10" applyFont="1" applyAlignment="1">
      <alignment horizontal="center" vertical="center"/>
    </xf>
    <xf numFmtId="176" fontId="31" fillId="0" borderId="0" xfId="10" quotePrefix="1" applyNumberFormat="1" applyFont="1" applyAlignment="1">
      <alignment horizontal="left" vertical="center"/>
    </xf>
    <xf numFmtId="0" fontId="31" fillId="0" borderId="0" xfId="10" applyFont="1" applyAlignment="1">
      <alignment horizontal="right" vertical="center"/>
    </xf>
    <xf numFmtId="176" fontId="31" fillId="0" borderId="0" xfId="10" applyNumberFormat="1" applyFont="1" applyAlignment="1">
      <alignment horizontal="left" vertical="center"/>
    </xf>
    <xf numFmtId="179" fontId="21" fillId="0" borderId="0" xfId="11" applyNumberFormat="1" applyFont="1" applyAlignment="1">
      <alignment vertical="center"/>
    </xf>
    <xf numFmtId="177" fontId="32" fillId="3" borderId="10" xfId="11" applyNumberFormat="1" applyFont="1" applyFill="1" applyBorder="1" applyAlignment="1">
      <alignment vertical="center"/>
    </xf>
    <xf numFmtId="177" fontId="33" fillId="3" borderId="13" xfId="11" applyNumberFormat="1" applyFont="1" applyFill="1" applyBorder="1" applyAlignment="1">
      <alignment horizontal="center" vertical="center"/>
    </xf>
    <xf numFmtId="177" fontId="33" fillId="3" borderId="8" xfId="11" applyNumberFormat="1" applyFont="1" applyFill="1" applyBorder="1" applyAlignment="1">
      <alignment horizontal="center" vertical="center" wrapText="1"/>
    </xf>
    <xf numFmtId="177" fontId="33" fillId="0" borderId="0" xfId="11" applyNumberFormat="1" applyFont="1" applyAlignment="1">
      <alignment vertical="center"/>
    </xf>
    <xf numFmtId="0" fontId="33" fillId="0" borderId="0" xfId="11" applyFont="1" applyAlignment="1">
      <alignment horizontal="center" vertical="center" wrapText="1"/>
    </xf>
    <xf numFmtId="177" fontId="32" fillId="3" borderId="10" xfId="11" applyNumberFormat="1" applyFont="1" applyFill="1" applyBorder="1" applyAlignment="1">
      <alignment horizontal="left" vertical="center"/>
    </xf>
    <xf numFmtId="14" fontId="33" fillId="3" borderId="10" xfId="11" applyNumberFormat="1" applyFont="1" applyFill="1" applyBorder="1" applyAlignment="1">
      <alignment horizontal="center" vertical="center"/>
    </xf>
    <xf numFmtId="177" fontId="32" fillId="3" borderId="10" xfId="11" applyNumberFormat="1" applyFont="1" applyFill="1" applyBorder="1" applyAlignment="1">
      <alignment horizontal="center" vertical="center"/>
    </xf>
    <xf numFmtId="9" fontId="33" fillId="3" borderId="10" xfId="2" applyFont="1" applyFill="1" applyBorder="1" applyAlignment="1">
      <alignment horizontal="center" vertical="center"/>
    </xf>
    <xf numFmtId="185" fontId="34" fillId="3" borderId="10" xfId="2" applyNumberFormat="1" applyFont="1" applyFill="1" applyBorder="1" applyAlignment="1">
      <alignment horizontal="right" vertical="top"/>
    </xf>
    <xf numFmtId="177" fontId="34" fillId="3" borderId="10" xfId="11" applyNumberFormat="1" applyFont="1" applyFill="1" applyBorder="1" applyAlignment="1">
      <alignment horizontal="center" vertical="top"/>
    </xf>
    <xf numFmtId="177" fontId="34" fillId="3" borderId="28" xfId="11" applyNumberFormat="1" applyFont="1" applyFill="1" applyBorder="1" applyAlignment="1">
      <alignment horizontal="center" vertical="top"/>
    </xf>
    <xf numFmtId="179" fontId="33" fillId="3" borderId="6" xfId="11" applyNumberFormat="1" applyFont="1" applyFill="1" applyBorder="1" applyAlignment="1">
      <alignment vertical="center" wrapText="1"/>
    </xf>
    <xf numFmtId="177" fontId="33" fillId="0" borderId="0" xfId="11" applyNumberFormat="1" applyFont="1" applyAlignment="1">
      <alignment horizontal="center" vertical="center"/>
    </xf>
    <xf numFmtId="179" fontId="25" fillId="2" borderId="12" xfId="0" applyNumberFormat="1" applyFont="1" applyFill="1" applyBorder="1">
      <alignment vertical="center"/>
    </xf>
    <xf numFmtId="179" fontId="25" fillId="2" borderId="11" xfId="0" applyNumberFormat="1" applyFont="1" applyFill="1" applyBorder="1">
      <alignment vertical="center"/>
    </xf>
    <xf numFmtId="179" fontId="25" fillId="2" borderId="11" xfId="0" applyNumberFormat="1" applyFont="1" applyFill="1" applyBorder="1" applyAlignment="1">
      <alignment vertical="center" shrinkToFit="1"/>
    </xf>
    <xf numFmtId="10" fontId="25" fillId="0" borderId="4" xfId="23" applyNumberFormat="1" applyFont="1" applyFill="1" applyBorder="1" applyAlignment="1">
      <alignment vertical="center"/>
    </xf>
    <xf numFmtId="179" fontId="21" fillId="0" borderId="0" xfId="11" applyNumberFormat="1" applyFont="1" applyAlignment="1">
      <alignment horizontal="center" vertical="center"/>
    </xf>
    <xf numFmtId="179" fontId="21" fillId="0" borderId="0" xfId="11" applyNumberFormat="1" applyFont="1" applyAlignment="1">
      <alignment vertical="center" wrapText="1"/>
    </xf>
    <xf numFmtId="179" fontId="21" fillId="2" borderId="12" xfId="0" applyNumberFormat="1" applyFont="1" applyFill="1" applyBorder="1">
      <alignment vertical="center"/>
    </xf>
    <xf numFmtId="179" fontId="17" fillId="0" borderId="4" xfId="0" applyNumberFormat="1" applyFont="1" applyBorder="1">
      <alignment vertical="center"/>
    </xf>
    <xf numFmtId="179" fontId="21" fillId="2" borderId="11" xfId="0" applyNumberFormat="1" applyFont="1" applyFill="1" applyBorder="1">
      <alignment vertical="center"/>
    </xf>
    <xf numFmtId="0" fontId="21" fillId="2" borderId="11" xfId="0" applyFont="1" applyFill="1" applyBorder="1" applyAlignment="1">
      <alignment vertical="center" shrinkToFit="1"/>
    </xf>
    <xf numFmtId="182" fontId="6" fillId="0" borderId="4" xfId="0" applyNumberFormat="1" applyFont="1" applyBorder="1">
      <alignment vertical="center"/>
    </xf>
    <xf numFmtId="182" fontId="5" fillId="0" borderId="4" xfId="0" applyNumberFormat="1" applyFont="1" applyBorder="1">
      <alignment vertical="center"/>
    </xf>
    <xf numFmtId="10" fontId="21" fillId="0" borderId="4" xfId="23" applyNumberFormat="1" applyFont="1" applyFill="1" applyBorder="1" applyAlignment="1">
      <alignment vertical="center"/>
    </xf>
    <xf numFmtId="10" fontId="28" fillId="0" borderId="29" xfId="2" applyNumberFormat="1" applyFont="1" applyFill="1" applyBorder="1" applyAlignment="1">
      <alignment vertical="center"/>
    </xf>
    <xf numFmtId="177" fontId="28" fillId="0" borderId="29" xfId="11" applyNumberFormat="1" applyFont="1" applyBorder="1" applyAlignment="1">
      <alignment horizontal="center" vertical="center"/>
    </xf>
    <xf numFmtId="177" fontId="28" fillId="0" borderId="11" xfId="11" applyNumberFormat="1" applyFont="1" applyBorder="1" applyAlignment="1">
      <alignment horizontal="center" vertical="center"/>
    </xf>
    <xf numFmtId="183" fontId="21" fillId="0" borderId="0" xfId="11" applyNumberFormat="1" applyFont="1" applyAlignment="1">
      <alignment horizontal="center" vertical="center"/>
    </xf>
    <xf numFmtId="179" fontId="21" fillId="0" borderId="0" xfId="11" applyNumberFormat="1" applyFont="1" applyAlignment="1">
      <alignment horizontal="left" vertical="center" wrapText="1"/>
    </xf>
    <xf numFmtId="179" fontId="5" fillId="0" borderId="0" xfId="11" applyNumberFormat="1" applyFont="1" applyAlignment="1">
      <alignment horizontal="left" vertical="center" wrapText="1"/>
    </xf>
    <xf numFmtId="179" fontId="5" fillId="0" borderId="0" xfId="11" applyNumberFormat="1" applyFont="1" applyAlignment="1">
      <alignment vertical="center" wrapText="1"/>
    </xf>
    <xf numFmtId="0" fontId="25" fillId="2" borderId="11" xfId="0" applyFont="1" applyFill="1" applyBorder="1" applyAlignment="1">
      <alignment vertical="center" shrinkToFit="1"/>
    </xf>
    <xf numFmtId="182" fontId="17" fillId="0" borderId="4" xfId="0" applyNumberFormat="1" applyFont="1" applyBorder="1">
      <alignment vertical="center"/>
    </xf>
    <xf numFmtId="10" fontId="25" fillId="0" borderId="4" xfId="23" applyNumberFormat="1" applyFont="1" applyFill="1" applyBorder="1" applyAlignment="1">
      <alignment horizontal="center" vertical="center"/>
    </xf>
    <xf numFmtId="41" fontId="21" fillId="0" borderId="0" xfId="26" applyFont="1" applyFill="1" applyBorder="1" applyAlignment="1">
      <alignment horizontal="center" vertical="center"/>
    </xf>
    <xf numFmtId="41" fontId="21" fillId="0" borderId="0" xfId="26" applyFont="1" applyFill="1" applyBorder="1">
      <alignment vertical="center"/>
    </xf>
    <xf numFmtId="179" fontId="21" fillId="0" borderId="0" xfId="11" applyNumberFormat="1" applyFont="1" applyAlignment="1">
      <alignment horizontal="right" vertical="center"/>
    </xf>
    <xf numFmtId="179" fontId="35" fillId="0" borderId="0" xfId="11" applyNumberFormat="1" applyFont="1" applyAlignment="1">
      <alignment vertical="center" wrapText="1"/>
    </xf>
    <xf numFmtId="0" fontId="25" fillId="2" borderId="11" xfId="0" applyFont="1" applyFill="1" applyBorder="1">
      <alignment vertical="center"/>
    </xf>
    <xf numFmtId="179" fontId="21" fillId="0" borderId="0" xfId="0" applyNumberFormat="1" applyFont="1" applyAlignment="1">
      <alignment vertical="center" wrapText="1"/>
    </xf>
    <xf numFmtId="179" fontId="21" fillId="2" borderId="11" xfId="0" applyNumberFormat="1" applyFont="1" applyFill="1" applyBorder="1" applyAlignment="1">
      <alignment vertical="center" shrinkToFit="1"/>
    </xf>
    <xf numFmtId="177" fontId="21" fillId="0" borderId="0" xfId="11" applyNumberFormat="1" applyFont="1" applyAlignment="1">
      <alignment vertical="center"/>
    </xf>
    <xf numFmtId="179" fontId="21" fillId="0" borderId="0" xfId="2" applyNumberFormat="1" applyFont="1" applyFill="1" applyBorder="1" applyAlignment="1">
      <alignment vertical="center"/>
    </xf>
    <xf numFmtId="178" fontId="21" fillId="0" borderId="0" xfId="11" applyNumberFormat="1" applyFont="1" applyAlignment="1">
      <alignment vertical="center"/>
    </xf>
    <xf numFmtId="177" fontId="21" fillId="0" borderId="0" xfId="11" applyNumberFormat="1" applyFont="1" applyAlignment="1">
      <alignment horizontal="center" vertical="center"/>
    </xf>
    <xf numFmtId="179" fontId="33" fillId="3" borderId="9" xfId="11" applyNumberFormat="1" applyFont="1" applyFill="1" applyBorder="1" applyAlignment="1">
      <alignment vertical="center"/>
    </xf>
    <xf numFmtId="179" fontId="33" fillId="3" borderId="7" xfId="11" applyNumberFormat="1" applyFont="1" applyFill="1" applyBorder="1" applyAlignment="1">
      <alignment vertical="center"/>
    </xf>
    <xf numFmtId="179" fontId="33" fillId="3" borderId="8" xfId="11" applyNumberFormat="1" applyFont="1" applyFill="1" applyBorder="1" applyAlignment="1">
      <alignment vertical="center"/>
    </xf>
    <xf numFmtId="179" fontId="33" fillId="0" borderId="0" xfId="11" applyNumberFormat="1" applyFont="1" applyAlignment="1">
      <alignment vertical="center"/>
    </xf>
    <xf numFmtId="179" fontId="33" fillId="0" borderId="0" xfId="11" applyNumberFormat="1" applyFont="1" applyAlignment="1">
      <alignment horizontal="center" vertical="center" wrapText="1"/>
    </xf>
    <xf numFmtId="14" fontId="33" fillId="3" borderId="10" xfId="11" quotePrefix="1" applyNumberFormat="1" applyFont="1" applyFill="1" applyBorder="1" applyAlignment="1">
      <alignment horizontal="center" vertical="center"/>
    </xf>
    <xf numFmtId="179" fontId="32" fillId="3" borderId="10" xfId="11" applyNumberFormat="1" applyFont="1" applyFill="1" applyBorder="1" applyAlignment="1">
      <alignment horizontal="center" vertical="center"/>
    </xf>
    <xf numFmtId="179" fontId="33" fillId="3" borderId="10" xfId="2" applyNumberFormat="1" applyFont="1" applyFill="1" applyBorder="1" applyAlignment="1">
      <alignment horizontal="center" vertical="center"/>
    </xf>
    <xf numFmtId="179" fontId="33" fillId="3" borderId="6" xfId="2" applyNumberFormat="1" applyFont="1" applyFill="1" applyBorder="1" applyAlignment="1">
      <alignment horizontal="center" vertical="center"/>
    </xf>
    <xf numFmtId="179" fontId="33" fillId="0" borderId="0" xfId="11" applyNumberFormat="1" applyFont="1" applyAlignment="1">
      <alignment horizontal="center" vertical="center"/>
    </xf>
    <xf numFmtId="179" fontId="32" fillId="0" borderId="0" xfId="11" applyNumberFormat="1" applyFont="1" applyAlignment="1">
      <alignment horizontal="left" vertical="center"/>
    </xf>
    <xf numFmtId="179" fontId="32" fillId="0" borderId="0" xfId="11" applyNumberFormat="1" applyFont="1" applyAlignment="1">
      <alignment horizontal="left" vertical="center" wrapText="1"/>
    </xf>
    <xf numFmtId="179" fontId="25" fillId="0" borderId="4" xfId="11" applyNumberFormat="1" applyFont="1" applyBorder="1" applyAlignment="1">
      <alignment horizontal="left" vertical="center" wrapText="1"/>
    </xf>
    <xf numFmtId="179" fontId="25" fillId="0" borderId="0" xfId="11" applyNumberFormat="1" applyFont="1" applyAlignment="1">
      <alignment horizontal="right" vertical="center"/>
    </xf>
    <xf numFmtId="0" fontId="21" fillId="2" borderId="11" xfId="0" applyFont="1" applyFill="1" applyBorder="1">
      <alignment vertical="center"/>
    </xf>
    <xf numFmtId="179" fontId="21" fillId="0" borderId="4" xfId="11" applyNumberFormat="1" applyFont="1" applyBorder="1" applyAlignment="1">
      <alignment vertical="center"/>
    </xf>
    <xf numFmtId="179" fontId="21" fillId="0" borderId="4" xfId="11" applyNumberFormat="1" applyFont="1" applyBorder="1" applyAlignment="1">
      <alignment horizontal="left" vertical="center" wrapText="1"/>
    </xf>
    <xf numFmtId="10" fontId="21" fillId="0" borderId="0" xfId="23" applyNumberFormat="1" applyFont="1" applyFill="1" applyBorder="1" applyAlignment="1">
      <alignment horizontal="right" vertical="center" wrapText="1"/>
    </xf>
    <xf numFmtId="179" fontId="21" fillId="0" borderId="0" xfId="11" applyNumberFormat="1" applyFont="1" applyAlignment="1">
      <alignment horizontal="left" vertical="center"/>
    </xf>
    <xf numFmtId="41" fontId="21" fillId="0" borderId="0" xfId="11" applyNumberFormat="1" applyFont="1" applyAlignment="1">
      <alignment horizontal="center" vertical="center"/>
    </xf>
    <xf numFmtId="179" fontId="25" fillId="2" borderId="9" xfId="0" applyNumberFormat="1" applyFont="1" applyFill="1" applyBorder="1">
      <alignment vertical="center"/>
    </xf>
    <xf numFmtId="179" fontId="25" fillId="2" borderId="8" xfId="0" applyNumberFormat="1" applyFont="1" applyFill="1" applyBorder="1">
      <alignment vertical="center"/>
    </xf>
    <xf numFmtId="179" fontId="21" fillId="2" borderId="18" xfId="0" applyNumberFormat="1" applyFont="1" applyFill="1" applyBorder="1">
      <alignment vertical="center"/>
    </xf>
    <xf numFmtId="179" fontId="22" fillId="2" borderId="17" xfId="0" applyNumberFormat="1" applyFont="1" applyFill="1" applyBorder="1">
      <alignment vertical="center"/>
    </xf>
    <xf numFmtId="179" fontId="22" fillId="2" borderId="16" xfId="0" applyNumberFormat="1" applyFont="1" applyFill="1" applyBorder="1">
      <alignment vertical="center"/>
    </xf>
    <xf numFmtId="10" fontId="22" fillId="0" borderId="4" xfId="2" applyNumberFormat="1" applyFont="1" applyFill="1" applyBorder="1" applyAlignment="1">
      <alignment vertical="center"/>
    </xf>
    <xf numFmtId="179" fontId="21" fillId="2" borderId="15" xfId="0" applyNumberFormat="1" applyFont="1" applyFill="1" applyBorder="1">
      <alignment vertical="center"/>
    </xf>
    <xf numFmtId="179" fontId="22" fillId="2" borderId="1" xfId="0" applyNumberFormat="1" applyFont="1" applyFill="1" applyBorder="1">
      <alignment vertical="center"/>
    </xf>
    <xf numFmtId="179" fontId="22" fillId="2" borderId="14" xfId="0" applyNumberFormat="1" applyFont="1" applyFill="1" applyBorder="1">
      <alignment vertical="center"/>
    </xf>
    <xf numFmtId="179" fontId="25" fillId="2" borderId="4" xfId="0" applyNumberFormat="1" applyFont="1" applyFill="1" applyBorder="1">
      <alignment vertical="center"/>
    </xf>
    <xf numFmtId="179" fontId="25" fillId="2" borderId="18" xfId="0" applyNumberFormat="1" applyFont="1" applyFill="1" applyBorder="1">
      <alignment vertical="center"/>
    </xf>
    <xf numFmtId="179" fontId="21" fillId="2" borderId="6" xfId="0" applyNumberFormat="1" applyFont="1" applyFill="1" applyBorder="1">
      <alignment vertical="center"/>
    </xf>
    <xf numFmtId="179" fontId="21" fillId="2" borderId="5" xfId="0" applyNumberFormat="1" applyFont="1" applyFill="1" applyBorder="1">
      <alignment vertical="center"/>
    </xf>
    <xf numFmtId="0" fontId="21" fillId="2" borderId="5" xfId="0" applyFont="1" applyFill="1" applyBorder="1">
      <alignment vertical="center"/>
    </xf>
    <xf numFmtId="179" fontId="25" fillId="0" borderId="0" xfId="11" applyNumberFormat="1" applyFont="1" applyAlignment="1">
      <alignment horizontal="center" vertical="center"/>
    </xf>
    <xf numFmtId="179" fontId="22" fillId="2" borderId="11" xfId="0" applyNumberFormat="1" applyFont="1" applyFill="1" applyBorder="1">
      <alignment vertical="center"/>
    </xf>
    <xf numFmtId="179" fontId="25" fillId="0" borderId="0" xfId="11" applyNumberFormat="1" applyFont="1" applyAlignment="1">
      <alignment vertical="center" wrapText="1"/>
    </xf>
    <xf numFmtId="179" fontId="37" fillId="2" borderId="11" xfId="0" applyNumberFormat="1" applyFont="1" applyFill="1" applyBorder="1">
      <alignment vertical="center"/>
    </xf>
    <xf numFmtId="179" fontId="5" fillId="0" borderId="0" xfId="0" applyNumberFormat="1" applyFont="1">
      <alignment vertical="center"/>
    </xf>
    <xf numFmtId="179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vertical="center" wrapText="1"/>
    </xf>
    <xf numFmtId="179" fontId="33" fillId="3" borderId="0" xfId="11" applyNumberFormat="1" applyFont="1" applyFill="1" applyAlignment="1">
      <alignment vertical="center"/>
    </xf>
    <xf numFmtId="179" fontId="33" fillId="3" borderId="12" xfId="2" applyNumberFormat="1" applyFont="1" applyFill="1" applyBorder="1" applyAlignment="1">
      <alignment horizontal="center" vertical="center"/>
    </xf>
    <xf numFmtId="179" fontId="33" fillId="3" borderId="0" xfId="2" applyNumberFormat="1" applyFont="1" applyFill="1" applyBorder="1" applyAlignment="1">
      <alignment horizontal="center" vertical="center"/>
    </xf>
    <xf numFmtId="179" fontId="25" fillId="0" borderId="0" xfId="11" applyNumberFormat="1" applyFont="1" applyAlignment="1">
      <alignment horizontal="left" vertical="center" wrapText="1"/>
    </xf>
    <xf numFmtId="10" fontId="28" fillId="0" borderId="4" xfId="2" applyNumberFormat="1" applyFont="1" applyFill="1" applyBorder="1" applyAlignment="1">
      <alignment vertical="center"/>
    </xf>
    <xf numFmtId="177" fontId="28" fillId="0" borderId="4" xfId="11" applyNumberFormat="1" applyFont="1" applyBorder="1" applyAlignment="1">
      <alignment horizontal="center" vertical="center"/>
    </xf>
    <xf numFmtId="41" fontId="21" fillId="0" borderId="0" xfId="11" applyNumberFormat="1" applyFont="1" applyAlignment="1">
      <alignment vertical="center"/>
    </xf>
    <xf numFmtId="10" fontId="21" fillId="0" borderId="0" xfId="23" applyNumberFormat="1" applyFont="1" applyFill="1" applyBorder="1" applyAlignment="1">
      <alignment vertical="center" wrapText="1"/>
    </xf>
    <xf numFmtId="179" fontId="25" fillId="0" borderId="0" xfId="0" applyNumberFormat="1" applyFont="1" applyAlignment="1">
      <alignment vertical="center" wrapText="1"/>
    </xf>
    <xf numFmtId="177" fontId="25" fillId="0" borderId="0" xfId="11" applyNumberFormat="1" applyFont="1" applyAlignment="1">
      <alignment horizontal="center" vertical="center"/>
    </xf>
    <xf numFmtId="179" fontId="21" fillId="0" borderId="4" xfId="11" applyNumberFormat="1" applyFont="1" applyBorder="1" applyAlignment="1">
      <alignment horizontal="left" vertical="center"/>
    </xf>
    <xf numFmtId="179" fontId="5" fillId="0" borderId="4" xfId="11" quotePrefix="1" applyNumberFormat="1" applyFont="1" applyBorder="1" applyAlignment="1">
      <alignment vertical="center" wrapText="1"/>
    </xf>
    <xf numFmtId="177" fontId="37" fillId="0" borderId="0" xfId="11" applyNumberFormat="1" applyFont="1" applyAlignment="1">
      <alignment horizontal="center" vertical="center"/>
    </xf>
    <xf numFmtId="179" fontId="22" fillId="0" borderId="0" xfId="11" applyNumberFormat="1" applyFont="1" applyAlignment="1">
      <alignment horizontal="left" vertical="center"/>
    </xf>
    <xf numFmtId="179" fontId="21" fillId="0" borderId="4" xfId="11" quotePrefix="1" applyNumberFormat="1" applyFont="1" applyBorder="1" applyAlignment="1">
      <alignment horizontal="left" vertical="center" wrapText="1"/>
    </xf>
    <xf numFmtId="179" fontId="0" fillId="7" borderId="0" xfId="0" applyNumberFormat="1" applyFill="1">
      <alignment vertical="center"/>
    </xf>
    <xf numFmtId="179" fontId="0" fillId="7" borderId="0" xfId="0" applyNumberFormat="1" applyFill="1" applyAlignment="1">
      <alignment horizontal="right" vertical="center"/>
    </xf>
    <xf numFmtId="179" fontId="17" fillId="8" borderId="4" xfId="0" applyNumberFormat="1" applyFont="1" applyFill="1" applyBorder="1" applyAlignment="1">
      <alignment horizontal="center" vertical="center" wrapText="1"/>
    </xf>
    <xf numFmtId="179" fontId="8" fillId="8" borderId="4" xfId="0" applyNumberFormat="1" applyFont="1" applyFill="1" applyBorder="1" applyAlignment="1">
      <alignment horizontal="center" vertical="center" wrapText="1"/>
    </xf>
    <xf numFmtId="179" fontId="5" fillId="7" borderId="4" xfId="0" applyNumberFormat="1" applyFont="1" applyFill="1" applyBorder="1" applyAlignment="1">
      <alignment vertical="center" wrapText="1"/>
    </xf>
    <xf numFmtId="179" fontId="6" fillId="7" borderId="4" xfId="0" applyNumberFormat="1" applyFont="1" applyFill="1" applyBorder="1" applyAlignment="1">
      <alignment vertical="center" wrapText="1"/>
    </xf>
    <xf numFmtId="188" fontId="6" fillId="7" borderId="4" xfId="0" applyNumberFormat="1" applyFont="1" applyFill="1" applyBorder="1" applyAlignment="1">
      <alignment horizontal="right" vertical="center" wrapText="1"/>
    </xf>
    <xf numFmtId="179" fontId="5" fillId="7" borderId="4" xfId="0" applyNumberFormat="1" applyFont="1" applyFill="1" applyBorder="1" applyAlignment="1">
      <alignment horizontal="left" vertical="center" wrapText="1" indent="1"/>
    </xf>
    <xf numFmtId="9" fontId="0" fillId="7" borderId="0" xfId="23" applyFont="1" applyFill="1" applyAlignment="1">
      <alignment vertical="center"/>
    </xf>
    <xf numFmtId="179" fontId="5" fillId="7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188" fontId="0" fillId="7" borderId="4" xfId="0" applyNumberFormat="1" applyFill="1" applyBorder="1">
      <alignment vertical="center"/>
    </xf>
    <xf numFmtId="179" fontId="5" fillId="7" borderId="0" xfId="0" applyNumberFormat="1" applyFont="1" applyFill="1">
      <alignment vertical="center"/>
    </xf>
    <xf numFmtId="179" fontId="0" fillId="7" borderId="0" xfId="0" applyNumberFormat="1" applyFill="1" applyAlignment="1">
      <alignment horizontal="left" vertical="center"/>
    </xf>
    <xf numFmtId="188" fontId="6" fillId="7" borderId="4" xfId="0" applyNumberFormat="1" applyFont="1" applyFill="1" applyBorder="1" applyAlignment="1">
      <alignment vertical="center" wrapText="1"/>
    </xf>
    <xf numFmtId="179" fontId="6" fillId="7" borderId="4" xfId="0" applyNumberFormat="1" applyFont="1" applyFill="1" applyBorder="1" applyAlignment="1">
      <alignment horizontal="left" vertical="center" wrapText="1" indent="1"/>
    </xf>
    <xf numFmtId="188" fontId="21" fillId="7" borderId="4" xfId="0" applyNumberFormat="1" applyFont="1" applyFill="1" applyBorder="1" applyAlignment="1">
      <alignment horizontal="right" vertical="center" wrapText="1"/>
    </xf>
    <xf numFmtId="10" fontId="0" fillId="7" borderId="0" xfId="23" applyNumberFormat="1" applyFont="1" applyFill="1" applyAlignment="1">
      <alignment vertical="center"/>
    </xf>
    <xf numFmtId="188" fontId="6" fillId="7" borderId="0" xfId="0" applyNumberFormat="1" applyFont="1" applyFill="1" applyAlignment="1">
      <alignment horizontal="right" vertical="center" wrapText="1"/>
    </xf>
    <xf numFmtId="179" fontId="4" fillId="7" borderId="0" xfId="0" applyNumberFormat="1" applyFont="1" applyFill="1">
      <alignment vertical="center"/>
    </xf>
    <xf numFmtId="179" fontId="40" fillId="7" borderId="0" xfId="0" applyNumberFormat="1" applyFont="1" applyFill="1">
      <alignment vertical="center"/>
    </xf>
    <xf numFmtId="179" fontId="41" fillId="8" borderId="4" xfId="0" applyNumberFormat="1" applyFont="1" applyFill="1" applyBorder="1" applyAlignment="1">
      <alignment horizontal="center" vertical="center" wrapText="1"/>
    </xf>
    <xf numFmtId="179" fontId="6" fillId="7" borderId="4" xfId="0" applyNumberFormat="1" applyFont="1" applyFill="1" applyBorder="1" applyAlignment="1">
      <alignment horizontal="left" vertical="center" wrapText="1"/>
    </xf>
    <xf numFmtId="0" fontId="42" fillId="7" borderId="0" xfId="0" applyFont="1" applyFill="1" applyAlignment="1">
      <alignment horizontal="center" vertical="center" wrapText="1"/>
    </xf>
    <xf numFmtId="0" fontId="42" fillId="7" borderId="0" xfId="0" applyFont="1" applyFill="1" applyAlignment="1">
      <alignment vertical="center" wrapText="1"/>
    </xf>
    <xf numFmtId="0" fontId="44" fillId="7" borderId="0" xfId="0" applyFont="1" applyFill="1">
      <alignment vertical="center"/>
    </xf>
    <xf numFmtId="0" fontId="45" fillId="7" borderId="0" xfId="42" applyFont="1" applyFill="1" applyAlignment="1">
      <alignment horizontal="left" vertical="center"/>
    </xf>
    <xf numFmtId="0" fontId="46" fillId="0" borderId="0" xfId="0" applyFont="1" applyAlignment="1">
      <alignment horizontal="right" vertical="center" wrapText="1"/>
    </xf>
    <xf numFmtId="189" fontId="44" fillId="0" borderId="18" xfId="44" applyNumberFormat="1" applyFont="1" applyFill="1" applyBorder="1" applyAlignment="1">
      <alignment vertical="center" shrinkToFit="1"/>
    </xf>
    <xf numFmtId="181" fontId="44" fillId="0" borderId="38" xfId="44" applyNumberFormat="1" applyFont="1" applyFill="1" applyBorder="1" applyAlignment="1">
      <alignment vertical="center"/>
    </xf>
    <xf numFmtId="181" fontId="47" fillId="7" borderId="0" xfId="0" applyNumberFormat="1" applyFont="1" applyFill="1">
      <alignment vertical="center"/>
    </xf>
    <xf numFmtId="179" fontId="5" fillId="0" borderId="4" xfId="0" applyNumberFormat="1" applyFont="1" applyBorder="1">
      <alignment vertical="center"/>
    </xf>
    <xf numFmtId="179" fontId="5" fillId="8" borderId="4" xfId="0" applyNumberFormat="1" applyFont="1" applyFill="1" applyBorder="1" applyAlignment="1">
      <alignment horizontal="center" vertical="center"/>
    </xf>
    <xf numFmtId="0" fontId="50" fillId="0" borderId="1" xfId="45" applyFont="1" applyBorder="1">
      <alignment vertical="center"/>
    </xf>
    <xf numFmtId="0" fontId="50" fillId="0" borderId="1" xfId="45" applyFont="1" applyBorder="1" applyAlignment="1">
      <alignment horizontal="right" vertical="center"/>
    </xf>
    <xf numFmtId="0" fontId="51" fillId="0" borderId="1" xfId="45" applyFont="1" applyBorder="1" applyAlignment="1">
      <alignment horizontal="right" vertical="center"/>
    </xf>
    <xf numFmtId="0" fontId="51" fillId="0" borderId="0" xfId="45" applyFont="1" applyAlignment="1">
      <alignment horizontal="right" vertical="center"/>
    </xf>
    <xf numFmtId="0" fontId="50" fillId="0" borderId="0" xfId="45" applyFont="1">
      <alignment vertical="center"/>
    </xf>
    <xf numFmtId="0" fontId="5" fillId="0" borderId="40" xfId="0" applyFont="1" applyBorder="1">
      <alignment vertical="center"/>
    </xf>
    <xf numFmtId="0" fontId="5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21" fillId="0" borderId="0" xfId="45" applyFont="1" applyAlignment="1">
      <alignment horizontal="right" vertical="center"/>
    </xf>
    <xf numFmtId="0" fontId="5" fillId="0" borderId="1" xfId="0" applyFont="1" applyBorder="1">
      <alignment vertical="center"/>
    </xf>
    <xf numFmtId="0" fontId="48" fillId="0" borderId="1" xfId="0" applyFont="1" applyBorder="1">
      <alignment vertical="center"/>
    </xf>
    <xf numFmtId="0" fontId="52" fillId="0" borderId="1" xfId="0" applyFont="1" applyBorder="1">
      <alignment vertical="center"/>
    </xf>
    <xf numFmtId="14" fontId="5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vertical="center" wrapText="1"/>
    </xf>
    <xf numFmtId="0" fontId="21" fillId="0" borderId="1" xfId="45" applyFont="1" applyBorder="1" applyAlignment="1">
      <alignment horizontal="right" vertical="center"/>
    </xf>
    <xf numFmtId="0" fontId="48" fillId="0" borderId="0" xfId="0" applyFont="1">
      <alignment vertical="center"/>
    </xf>
    <xf numFmtId="0" fontId="21" fillId="0" borderId="0" xfId="45" applyFont="1">
      <alignment vertical="center"/>
    </xf>
    <xf numFmtId="179" fontId="36" fillId="0" borderId="0" xfId="45" applyNumberFormat="1" applyFont="1" applyAlignment="1">
      <alignment horizontal="center" vertical="center" wrapText="1"/>
    </xf>
    <xf numFmtId="179" fontId="38" fillId="0" borderId="0" xfId="45" applyNumberFormat="1" applyFont="1" applyAlignment="1">
      <alignment horizontal="center" vertical="center"/>
    </xf>
    <xf numFmtId="179" fontId="36" fillId="10" borderId="46" xfId="45" applyNumberFormat="1" applyFont="1" applyFill="1" applyBorder="1" applyAlignment="1">
      <alignment horizontal="center" vertical="center"/>
    </xf>
    <xf numFmtId="179" fontId="36" fillId="0" borderId="0" xfId="45" applyNumberFormat="1" applyFont="1" applyAlignment="1">
      <alignment horizontal="center" vertical="center"/>
    </xf>
    <xf numFmtId="179" fontId="21" fillId="0" borderId="0" xfId="45" applyNumberFormat="1" applyFont="1">
      <alignment vertical="center"/>
    </xf>
    <xf numFmtId="179" fontId="21" fillId="0" borderId="47" xfId="45" applyNumberFormat="1" applyFont="1" applyBorder="1">
      <alignment vertical="center"/>
    </xf>
    <xf numFmtId="179" fontId="21" fillId="0" borderId="36" xfId="46" applyNumberFormat="1" applyFont="1" applyFill="1" applyBorder="1" applyAlignment="1">
      <alignment vertical="center"/>
    </xf>
    <xf numFmtId="179" fontId="21" fillId="0" borderId="0" xfId="46" applyNumberFormat="1" applyFont="1" applyFill="1" applyBorder="1" applyAlignment="1">
      <alignment vertical="center"/>
    </xf>
    <xf numFmtId="179" fontId="21" fillId="0" borderId="36" xfId="45" applyNumberFormat="1" applyFont="1" applyBorder="1" applyAlignment="1">
      <alignment horizontal="center" vertical="center"/>
    </xf>
    <xf numFmtId="179" fontId="21" fillId="0" borderId="36" xfId="45" applyNumberFormat="1" applyFont="1" applyBorder="1">
      <alignment vertical="center"/>
    </xf>
    <xf numFmtId="179" fontId="36" fillId="0" borderId="0" xfId="45" applyNumberFormat="1" applyFont="1">
      <alignment vertical="center"/>
    </xf>
    <xf numFmtId="179" fontId="54" fillId="0" borderId="39" xfId="45" applyNumberFormat="1" applyFont="1" applyBorder="1">
      <alignment vertical="center"/>
    </xf>
    <xf numFmtId="179" fontId="38" fillId="0" borderId="36" xfId="45" applyNumberFormat="1" applyFont="1" applyBorder="1" applyAlignment="1">
      <alignment horizontal="center" vertical="center"/>
    </xf>
    <xf numFmtId="179" fontId="54" fillId="0" borderId="15" xfId="45" applyNumberFormat="1" applyFont="1" applyBorder="1">
      <alignment vertical="center"/>
    </xf>
    <xf numFmtId="179" fontId="21" fillId="0" borderId="1" xfId="45" applyNumberFormat="1" applyFont="1" applyBorder="1">
      <alignment vertical="center"/>
    </xf>
    <xf numFmtId="179" fontId="21" fillId="0" borderId="14" xfId="45" applyNumberFormat="1" applyFont="1" applyBorder="1">
      <alignment vertical="center"/>
    </xf>
    <xf numFmtId="179" fontId="21" fillId="0" borderId="2" xfId="46" applyNumberFormat="1" applyFont="1" applyFill="1" applyBorder="1" applyAlignment="1">
      <alignment vertical="center"/>
    </xf>
    <xf numFmtId="179" fontId="21" fillId="0" borderId="1" xfId="46" applyNumberFormat="1" applyFont="1" applyFill="1" applyBorder="1" applyAlignment="1">
      <alignment vertical="center"/>
    </xf>
    <xf numFmtId="179" fontId="21" fillId="0" borderId="2" xfId="45" applyNumberFormat="1" applyFont="1" applyBorder="1" applyAlignment="1">
      <alignment horizontal="center" vertical="center"/>
    </xf>
    <xf numFmtId="179" fontId="21" fillId="0" borderId="2" xfId="45" applyNumberFormat="1" applyFont="1" applyBorder="1">
      <alignment vertical="center"/>
    </xf>
    <xf numFmtId="179" fontId="21" fillId="11" borderId="4" xfId="46" applyNumberFormat="1" applyFont="1" applyFill="1" applyBorder="1" applyAlignment="1">
      <alignment vertical="center"/>
    </xf>
    <xf numFmtId="179" fontId="21" fillId="11" borderId="4" xfId="45" applyNumberFormat="1" applyFont="1" applyFill="1" applyBorder="1">
      <alignment vertical="center"/>
    </xf>
    <xf numFmtId="179" fontId="38" fillId="0" borderId="0" xfId="45" applyNumberFormat="1" applyFont="1">
      <alignment vertical="center"/>
    </xf>
    <xf numFmtId="179" fontId="21" fillId="0" borderId="40" xfId="45" applyNumberFormat="1" applyFont="1" applyBorder="1" applyAlignment="1">
      <alignment horizontal="center" vertical="center"/>
    </xf>
    <xf numFmtId="179" fontId="21" fillId="0" borderId="0" xfId="47" applyFont="1" applyFill="1" applyBorder="1" applyAlignment="1">
      <alignment vertical="center"/>
    </xf>
    <xf numFmtId="179" fontId="21" fillId="0" borderId="0" xfId="47" applyFont="1" applyAlignment="1">
      <alignment vertical="center"/>
    </xf>
    <xf numFmtId="179" fontId="4" fillId="7" borderId="0" xfId="0" applyNumberFormat="1" applyFont="1" applyFill="1" applyAlignment="1">
      <alignment horizontal="left" vertical="center"/>
    </xf>
    <xf numFmtId="0" fontId="27" fillId="5" borderId="30" xfId="0" applyFont="1" applyFill="1" applyBorder="1">
      <alignment vertical="center"/>
    </xf>
    <xf numFmtId="0" fontId="27" fillId="5" borderId="31" xfId="0" applyFont="1" applyFill="1" applyBorder="1">
      <alignment vertical="center"/>
    </xf>
    <xf numFmtId="0" fontId="27" fillId="5" borderId="32" xfId="0" applyFont="1" applyFill="1" applyBorder="1">
      <alignment vertical="center"/>
    </xf>
    <xf numFmtId="0" fontId="29" fillId="6" borderId="48" xfId="0" applyFont="1" applyFill="1" applyBorder="1">
      <alignment vertical="center"/>
    </xf>
    <xf numFmtId="0" fontId="29" fillId="6" borderId="20" xfId="0" applyFont="1" applyFill="1" applyBorder="1">
      <alignment vertical="center"/>
    </xf>
    <xf numFmtId="0" fontId="29" fillId="6" borderId="23" xfId="0" quotePrefix="1" applyFont="1" applyFill="1" applyBorder="1">
      <alignment vertical="center"/>
    </xf>
    <xf numFmtId="0" fontId="29" fillId="6" borderId="44" xfId="0" quotePrefix="1" applyFont="1" applyFill="1" applyBorder="1">
      <alignment vertical="center"/>
    </xf>
    <xf numFmtId="0" fontId="29" fillId="6" borderId="24" xfId="0" quotePrefix="1" applyFont="1" applyFill="1" applyBorder="1">
      <alignment vertical="center"/>
    </xf>
    <xf numFmtId="14" fontId="29" fillId="6" borderId="21" xfId="0" quotePrefix="1" applyNumberFormat="1" applyFont="1" applyFill="1" applyBorder="1">
      <alignment vertical="center"/>
    </xf>
    <xf numFmtId="14" fontId="29" fillId="6" borderId="0" xfId="0" quotePrefix="1" applyNumberFormat="1" applyFont="1" applyFill="1">
      <alignment vertical="center"/>
    </xf>
    <xf numFmtId="14" fontId="29" fillId="6" borderId="22" xfId="0" quotePrefix="1" applyNumberFormat="1" applyFont="1" applyFill="1" applyBorder="1">
      <alignment vertical="center"/>
    </xf>
    <xf numFmtId="188" fontId="8" fillId="7" borderId="4" xfId="0" applyNumberFormat="1" applyFont="1" applyFill="1" applyBorder="1" applyAlignment="1">
      <alignment horizontal="right" vertical="center" wrapText="1"/>
    </xf>
    <xf numFmtId="179" fontId="8" fillId="7" borderId="4" xfId="0" applyNumberFormat="1" applyFont="1" applyFill="1" applyBorder="1" applyAlignment="1">
      <alignment vertical="center" wrapText="1"/>
    </xf>
    <xf numFmtId="181" fontId="55" fillId="7" borderId="0" xfId="0" applyNumberFormat="1" applyFont="1" applyFill="1">
      <alignment vertical="center"/>
    </xf>
    <xf numFmtId="44" fontId="5" fillId="0" borderId="0" xfId="11" applyNumberFormat="1" applyFont="1" applyAlignment="1">
      <alignment vertical="center"/>
    </xf>
    <xf numFmtId="0" fontId="5" fillId="0" borderId="0" xfId="11" applyFont="1" applyAlignment="1">
      <alignment vertical="center"/>
    </xf>
    <xf numFmtId="179" fontId="21" fillId="0" borderId="0" xfId="0" applyNumberFormat="1" applyFont="1">
      <alignment vertical="center"/>
    </xf>
    <xf numFmtId="179" fontId="21" fillId="8" borderId="4" xfId="0" applyNumberFormat="1" applyFont="1" applyFill="1" applyBorder="1" applyAlignment="1">
      <alignment horizontal="center" vertical="center"/>
    </xf>
    <xf numFmtId="179" fontId="21" fillId="8" borderId="4" xfId="0" quotePrefix="1" applyNumberFormat="1" applyFont="1" applyFill="1" applyBorder="1" applyAlignment="1">
      <alignment horizontal="center" vertical="center"/>
    </xf>
    <xf numFmtId="179" fontId="32" fillId="0" borderId="0" xfId="0" quotePrefix="1" applyNumberFormat="1" applyFont="1" applyAlignment="1">
      <alignment horizontal="center" vertical="center"/>
    </xf>
    <xf numFmtId="179" fontId="21" fillId="0" borderId="4" xfId="0" applyNumberFormat="1" applyFont="1" applyBorder="1">
      <alignment vertical="center"/>
    </xf>
    <xf numFmtId="180" fontId="21" fillId="0" borderId="4" xfId="0" applyNumberFormat="1" applyFont="1" applyBorder="1">
      <alignment vertical="center"/>
    </xf>
    <xf numFmtId="2" fontId="21" fillId="0" borderId="4" xfId="11" applyNumberFormat="1" applyFont="1" applyBorder="1" applyAlignment="1">
      <alignment vertical="center"/>
    </xf>
    <xf numFmtId="180" fontId="32" fillId="0" borderId="0" xfId="0" applyNumberFormat="1" applyFont="1">
      <alignment vertical="center"/>
    </xf>
    <xf numFmtId="179" fontId="5" fillId="0" borderId="0" xfId="11" applyNumberFormat="1" applyFont="1" applyAlignment="1">
      <alignment vertical="center"/>
    </xf>
    <xf numFmtId="10" fontId="21" fillId="0" borderId="4" xfId="2" applyNumberFormat="1" applyFont="1" applyBorder="1" applyAlignment="1">
      <alignment vertical="center"/>
    </xf>
    <xf numFmtId="10" fontId="21" fillId="0" borderId="4" xfId="23" applyNumberFormat="1" applyFont="1" applyBorder="1" applyAlignment="1">
      <alignment vertical="center"/>
    </xf>
    <xf numFmtId="10" fontId="5" fillId="0" borderId="0" xfId="2" applyNumberFormat="1" applyFont="1" applyFill="1" applyBorder="1" applyAlignment="1">
      <alignment vertical="center"/>
    </xf>
    <xf numFmtId="10" fontId="5" fillId="0" borderId="0" xfId="23" applyNumberFormat="1" applyFont="1" applyFill="1" applyBorder="1" applyAlignment="1">
      <alignment vertical="center"/>
    </xf>
    <xf numFmtId="180" fontId="5" fillId="0" borderId="0" xfId="0" applyNumberFormat="1" applyFont="1">
      <alignment vertical="center"/>
    </xf>
    <xf numFmtId="14" fontId="21" fillId="8" borderId="4" xfId="0" quotePrefix="1" applyNumberFormat="1" applyFont="1" applyFill="1" applyBorder="1" applyAlignment="1">
      <alignment horizontal="center" vertical="center"/>
    </xf>
    <xf numFmtId="10" fontId="32" fillId="0" borderId="0" xfId="23" applyNumberFormat="1" applyFont="1" applyFill="1" applyBorder="1" applyAlignment="1">
      <alignment vertical="center"/>
    </xf>
    <xf numFmtId="10" fontId="32" fillId="0" borderId="0" xfId="2" applyNumberFormat="1" applyFont="1" applyFill="1" applyBorder="1" applyAlignment="1">
      <alignment vertical="center"/>
    </xf>
    <xf numFmtId="3" fontId="21" fillId="0" borderId="0" xfId="11" applyNumberFormat="1" applyFont="1" applyAlignment="1">
      <alignment vertical="center"/>
    </xf>
    <xf numFmtId="0" fontId="6" fillId="0" borderId="0" xfId="0" applyFont="1" applyAlignment="1">
      <alignment horizontal="right" vertical="top" wrapText="1"/>
    </xf>
    <xf numFmtId="3" fontId="6" fillId="0" borderId="0" xfId="0" applyNumberFormat="1" applyFont="1" applyAlignment="1">
      <alignment horizontal="right" vertical="top" wrapText="1"/>
    </xf>
    <xf numFmtId="179" fontId="21" fillId="0" borderId="0" xfId="0" applyNumberFormat="1" applyFont="1" applyAlignment="1">
      <alignment horizontal="center" vertical="center"/>
    </xf>
    <xf numFmtId="10" fontId="21" fillId="0" borderId="0" xfId="2" applyNumberFormat="1" applyFont="1" applyFill="1" applyBorder="1" applyAlignment="1">
      <alignment vertical="center"/>
    </xf>
    <xf numFmtId="179" fontId="25" fillId="0" borderId="0" xfId="0" applyNumberFormat="1" applyFont="1">
      <alignment vertical="center"/>
    </xf>
    <xf numFmtId="10" fontId="21" fillId="0" borderId="0" xfId="23" applyNumberFormat="1" applyFont="1" applyAlignment="1">
      <alignment vertical="center"/>
    </xf>
    <xf numFmtId="10" fontId="21" fillId="0" borderId="0" xfId="23" applyNumberFormat="1" applyFont="1" applyFill="1" applyBorder="1" applyAlignment="1">
      <alignment vertical="center"/>
    </xf>
    <xf numFmtId="9" fontId="21" fillId="0" borderId="0" xfId="23" applyFont="1" applyAlignment="1">
      <alignment vertical="center"/>
    </xf>
    <xf numFmtId="9" fontId="21" fillId="0" borderId="0" xfId="23" applyFont="1" applyFill="1" applyAlignment="1">
      <alignment vertical="center"/>
    </xf>
    <xf numFmtId="179" fontId="31" fillId="0" borderId="0" xfId="0" applyNumberFormat="1" applyFont="1">
      <alignment vertical="center"/>
    </xf>
    <xf numFmtId="179" fontId="31" fillId="8" borderId="4" xfId="0" applyNumberFormat="1" applyFont="1" applyFill="1" applyBorder="1" applyAlignment="1">
      <alignment horizontal="center" vertical="center"/>
    </xf>
    <xf numFmtId="179" fontId="31" fillId="8" borderId="4" xfId="0" quotePrefix="1" applyNumberFormat="1" applyFont="1" applyFill="1" applyBorder="1" applyAlignment="1">
      <alignment horizontal="center" vertical="center"/>
    </xf>
    <xf numFmtId="179" fontId="31" fillId="0" borderId="0" xfId="0" applyNumberFormat="1" applyFont="1" applyAlignment="1">
      <alignment horizontal="center" vertical="center"/>
    </xf>
    <xf numFmtId="179" fontId="31" fillId="0" borderId="0" xfId="0" quotePrefix="1" applyNumberFormat="1" applyFont="1" applyAlignment="1">
      <alignment horizontal="center" vertical="center"/>
    </xf>
    <xf numFmtId="179" fontId="31" fillId="0" borderId="4" xfId="0" applyNumberFormat="1" applyFont="1" applyBorder="1">
      <alignment vertical="center"/>
    </xf>
    <xf numFmtId="10" fontId="31" fillId="0" borderId="4" xfId="2" applyNumberFormat="1" applyFont="1" applyFill="1" applyBorder="1" applyAlignment="1" applyProtection="1">
      <alignment vertical="center"/>
    </xf>
    <xf numFmtId="10" fontId="31" fillId="0" borderId="0" xfId="2" applyNumberFormat="1" applyFont="1" applyFill="1" applyBorder="1" applyAlignment="1" applyProtection="1">
      <alignment vertical="center"/>
    </xf>
    <xf numFmtId="180" fontId="31" fillId="0" borderId="4" xfId="0" applyNumberFormat="1" applyFont="1" applyBorder="1">
      <alignment vertical="center"/>
    </xf>
    <xf numFmtId="180" fontId="31" fillId="0" borderId="0" xfId="0" applyNumberFormat="1" applyFont="1">
      <alignment vertical="center"/>
    </xf>
    <xf numFmtId="179" fontId="31" fillId="0" borderId="0" xfId="0" applyNumberFormat="1" applyFont="1" applyAlignment="1">
      <alignment horizontal="left" vertical="center"/>
    </xf>
    <xf numFmtId="179" fontId="20" fillId="0" borderId="0" xfId="0" quotePrefix="1" applyNumberFormat="1" applyFont="1">
      <alignment vertical="center"/>
    </xf>
    <xf numFmtId="179" fontId="31" fillId="0" borderId="0" xfId="0" quotePrefix="1" applyNumberFormat="1" applyFont="1">
      <alignment vertical="center"/>
    </xf>
    <xf numFmtId="179" fontId="31" fillId="0" borderId="4" xfId="0" quotePrefix="1" applyNumberFormat="1" applyFont="1" applyBorder="1">
      <alignment vertical="center"/>
    </xf>
    <xf numFmtId="179" fontId="5" fillId="0" borderId="4" xfId="0" applyNumberFormat="1" applyFont="1" applyBorder="1" applyAlignment="1">
      <alignment vertical="center" shrinkToFit="1"/>
    </xf>
    <xf numFmtId="179" fontId="6" fillId="0" borderId="0" xfId="0" quotePrefix="1" applyNumberFormat="1" applyFont="1">
      <alignment vertical="center"/>
    </xf>
    <xf numFmtId="179" fontId="5" fillId="0" borderId="0" xfId="0" quotePrefix="1" applyNumberFormat="1" applyFont="1" applyAlignment="1">
      <alignment horizontal="center" vertical="center"/>
    </xf>
    <xf numFmtId="180" fontId="5" fillId="0" borderId="4" xfId="0" applyNumberFormat="1" applyFont="1" applyBorder="1">
      <alignment vertical="center"/>
    </xf>
    <xf numFmtId="179" fontId="20" fillId="0" borderId="0" xfId="0" applyNumberFormat="1" applyFont="1">
      <alignment vertical="center"/>
    </xf>
    <xf numFmtId="179" fontId="31" fillId="0" borderId="4" xfId="0" applyNumberFormat="1" applyFont="1" applyBorder="1" applyAlignment="1">
      <alignment vertical="center" shrinkToFit="1"/>
    </xf>
    <xf numFmtId="179" fontId="5" fillId="0" borderId="0" xfId="11" quotePrefix="1" applyNumberFormat="1" applyFont="1" applyAlignment="1">
      <alignment vertical="top" wrapText="1"/>
    </xf>
    <xf numFmtId="179" fontId="21" fillId="0" borderId="0" xfId="11" quotePrefix="1" applyNumberFormat="1" applyFont="1" applyAlignment="1">
      <alignment horizontal="left" vertical="center" wrapText="1"/>
    </xf>
    <xf numFmtId="179" fontId="5" fillId="0" borderId="0" xfId="11" quotePrefix="1" applyNumberFormat="1" applyFont="1" applyAlignment="1">
      <alignment vertical="center" wrapText="1"/>
    </xf>
    <xf numFmtId="179" fontId="21" fillId="0" borderId="0" xfId="11" quotePrefix="1" applyNumberFormat="1" applyFont="1" applyAlignment="1">
      <alignment vertical="center" wrapText="1"/>
    </xf>
    <xf numFmtId="179" fontId="5" fillId="0" borderId="0" xfId="11" quotePrefix="1" applyNumberFormat="1" applyFont="1" applyAlignment="1">
      <alignment horizontal="left" vertical="center" wrapText="1"/>
    </xf>
    <xf numFmtId="179" fontId="35" fillId="0" borderId="0" xfId="11" applyNumberFormat="1" applyFont="1" applyAlignment="1">
      <alignment horizontal="left" vertical="center" wrapText="1"/>
    </xf>
    <xf numFmtId="187" fontId="38" fillId="0" borderId="0" xfId="11" applyNumberFormat="1" applyFont="1" applyAlignment="1">
      <alignment horizontal="left" vertical="center" wrapText="1"/>
    </xf>
    <xf numFmtId="187" fontId="21" fillId="0" borderId="0" xfId="11" applyNumberFormat="1" applyFont="1" applyAlignment="1">
      <alignment horizontal="left" vertical="center" wrapText="1"/>
    </xf>
    <xf numFmtId="179" fontId="25" fillId="0" borderId="0" xfId="11" applyNumberFormat="1" applyFont="1" applyAlignment="1">
      <alignment horizontal="left" vertical="center"/>
    </xf>
    <xf numFmtId="179" fontId="5" fillId="0" borderId="0" xfId="0" applyNumberFormat="1" applyFont="1" applyAlignment="1">
      <alignment horizontal="left" vertical="center" wrapText="1"/>
    </xf>
    <xf numFmtId="180" fontId="21" fillId="0" borderId="0" xfId="0" applyNumberFormat="1" applyFont="1">
      <alignment vertical="center"/>
    </xf>
    <xf numFmtId="182" fontId="5" fillId="0" borderId="0" xfId="0" applyNumberFormat="1" applyFont="1">
      <alignment vertical="center"/>
    </xf>
    <xf numFmtId="10" fontId="21" fillId="0" borderId="4" xfId="2" applyNumberFormat="1" applyFont="1" applyBorder="1" applyAlignment="1">
      <alignment horizontal="center" vertical="center"/>
    </xf>
    <xf numFmtId="179" fontId="21" fillId="0" borderId="40" xfId="45" applyNumberFormat="1" applyFont="1" applyBorder="1">
      <alignment vertical="center"/>
    </xf>
    <xf numFmtId="179" fontId="21" fillId="0" borderId="42" xfId="45" applyNumberFormat="1" applyFont="1" applyBorder="1">
      <alignment vertical="center"/>
    </xf>
    <xf numFmtId="179" fontId="21" fillId="0" borderId="3" xfId="46" applyNumberFormat="1" applyFont="1" applyFill="1" applyBorder="1" applyAlignment="1">
      <alignment vertical="center"/>
    </xf>
    <xf numFmtId="179" fontId="21" fillId="0" borderId="40" xfId="46" applyNumberFormat="1" applyFont="1" applyFill="1" applyBorder="1" applyAlignment="1">
      <alignment vertical="center"/>
    </xf>
    <xf numFmtId="179" fontId="21" fillId="0" borderId="3" xfId="45" applyNumberFormat="1" applyFont="1" applyBorder="1" applyAlignment="1">
      <alignment horizontal="center" vertical="center"/>
    </xf>
    <xf numFmtId="10" fontId="28" fillId="0" borderId="0" xfId="2" applyNumberFormat="1" applyFont="1" applyFill="1" applyBorder="1" applyAlignment="1">
      <alignment vertical="center"/>
    </xf>
    <xf numFmtId="177" fontId="28" fillId="0" borderId="0" xfId="11" applyNumberFormat="1" applyFont="1" applyAlignment="1">
      <alignment horizontal="center" vertical="center"/>
    </xf>
    <xf numFmtId="179" fontId="0" fillId="7" borderId="4" xfId="0" applyNumberFormat="1" applyFill="1" applyBorder="1">
      <alignment vertical="center"/>
    </xf>
    <xf numFmtId="0" fontId="42" fillId="8" borderId="37" xfId="0" applyFont="1" applyFill="1" applyBorder="1" applyAlignment="1">
      <alignment horizontal="center" vertical="center"/>
    </xf>
    <xf numFmtId="0" fontId="44" fillId="0" borderId="4" xfId="0" applyFont="1" applyBorder="1">
      <alignment vertical="center"/>
    </xf>
    <xf numFmtId="0" fontId="44" fillId="0" borderId="18" xfId="0" applyFont="1" applyBorder="1">
      <alignment vertical="center"/>
    </xf>
    <xf numFmtId="179" fontId="38" fillId="2" borderId="11" xfId="0" applyNumberFormat="1" applyFont="1" applyFill="1" applyBorder="1" applyAlignment="1">
      <alignment vertical="center" shrinkToFit="1"/>
    </xf>
    <xf numFmtId="10" fontId="58" fillId="0" borderId="29" xfId="2" applyNumberFormat="1" applyFont="1" applyFill="1" applyBorder="1" applyAlignment="1">
      <alignment vertical="center"/>
    </xf>
    <xf numFmtId="177" fontId="58" fillId="0" borderId="29" xfId="11" applyNumberFormat="1" applyFont="1" applyBorder="1" applyAlignment="1">
      <alignment horizontal="center" vertical="center"/>
    </xf>
    <xf numFmtId="177" fontId="58" fillId="0" borderId="11" xfId="11" applyNumberFormat="1" applyFont="1" applyBorder="1" applyAlignment="1">
      <alignment horizontal="center" vertical="center"/>
    </xf>
    <xf numFmtId="179" fontId="25" fillId="0" borderId="0" xfId="11" quotePrefix="1" applyNumberFormat="1" applyFont="1" applyAlignment="1">
      <alignment horizontal="left" vertical="center" wrapText="1"/>
    </xf>
    <xf numFmtId="179" fontId="17" fillId="0" borderId="0" xfId="11" applyNumberFormat="1" applyFont="1" applyAlignment="1">
      <alignment horizontal="left" vertical="center" wrapText="1"/>
    </xf>
    <xf numFmtId="183" fontId="25" fillId="0" borderId="0" xfId="11" applyNumberFormat="1" applyFont="1" applyAlignment="1">
      <alignment horizontal="center" vertical="center"/>
    </xf>
    <xf numFmtId="10" fontId="21" fillId="0" borderId="4" xfId="23" applyNumberFormat="1" applyFont="1" applyFill="1" applyBorder="1" applyAlignment="1">
      <alignment horizontal="center" vertical="center"/>
    </xf>
    <xf numFmtId="10" fontId="58" fillId="0" borderId="29" xfId="2" applyNumberFormat="1" applyFont="1" applyFill="1" applyBorder="1" applyAlignment="1">
      <alignment horizontal="center" vertical="center"/>
    </xf>
    <xf numFmtId="179" fontId="17" fillId="0" borderId="0" xfId="11" quotePrefix="1" applyNumberFormat="1" applyFont="1" applyAlignment="1">
      <alignment horizontal="left" vertical="center" wrapText="1"/>
    </xf>
    <xf numFmtId="179" fontId="37" fillId="0" borderId="0" xfId="11" applyNumberFormat="1" applyFont="1" applyAlignment="1">
      <alignment horizontal="left" vertical="center"/>
    </xf>
    <xf numFmtId="179" fontId="17" fillId="0" borderId="0" xfId="11" applyNumberFormat="1" applyFont="1" applyAlignment="1">
      <alignment vertical="center" wrapText="1"/>
    </xf>
    <xf numFmtId="179" fontId="25" fillId="0" borderId="0" xfId="11" quotePrefix="1" applyNumberFormat="1" applyFont="1" applyAlignment="1">
      <alignment vertical="center" wrapText="1"/>
    </xf>
    <xf numFmtId="41" fontId="25" fillId="0" borderId="0" xfId="26" applyFont="1" applyFill="1" applyBorder="1">
      <alignment vertical="center"/>
    </xf>
    <xf numFmtId="179" fontId="56" fillId="0" borderId="0" xfId="11" applyNumberFormat="1" applyFont="1" applyAlignment="1">
      <alignment vertical="center" wrapText="1"/>
    </xf>
    <xf numFmtId="179" fontId="25" fillId="0" borderId="0" xfId="10" applyNumberFormat="1" applyFont="1">
      <alignment vertical="center"/>
    </xf>
    <xf numFmtId="182" fontId="25" fillId="0" borderId="4" xfId="0" applyNumberFormat="1" applyFont="1" applyBorder="1">
      <alignment vertical="center"/>
    </xf>
    <xf numFmtId="182" fontId="21" fillId="0" borderId="4" xfId="0" applyNumberFormat="1" applyFont="1" applyBorder="1">
      <alignment vertical="center"/>
    </xf>
    <xf numFmtId="10" fontId="25" fillId="0" borderId="0" xfId="23" applyNumberFormat="1" applyFont="1" applyFill="1" applyBorder="1" applyAlignment="1">
      <alignment vertical="center"/>
    </xf>
    <xf numFmtId="10" fontId="21" fillId="0" borderId="0" xfId="11" applyNumberFormat="1" applyFont="1" applyAlignment="1">
      <alignment vertical="center" wrapText="1"/>
    </xf>
    <xf numFmtId="179" fontId="6" fillId="7" borderId="4" xfId="0" applyNumberFormat="1" applyFont="1" applyFill="1" applyBorder="1" applyAlignment="1">
      <alignment horizontal="center" vertical="center" wrapText="1"/>
    </xf>
    <xf numFmtId="179" fontId="6" fillId="7" borderId="2" xfId="0" applyNumberFormat="1" applyFont="1" applyFill="1" applyBorder="1" applyAlignment="1">
      <alignment horizontal="center" vertical="center" wrapText="1"/>
    </xf>
    <xf numFmtId="179" fontId="54" fillId="0" borderId="41" xfId="45" applyNumberFormat="1" applyFont="1" applyBorder="1" applyAlignment="1">
      <alignment horizontal="left" vertical="center"/>
    </xf>
    <xf numFmtId="179" fontId="21" fillId="0" borderId="49" xfId="46" applyNumberFormat="1" applyFont="1" applyFill="1" applyBorder="1" applyAlignment="1">
      <alignment vertical="center"/>
    </xf>
    <xf numFmtId="179" fontId="54" fillId="0" borderId="39" xfId="45" applyNumberFormat="1" applyFont="1" applyBorder="1" applyAlignment="1">
      <alignment horizontal="left" vertical="center"/>
    </xf>
    <xf numFmtId="179" fontId="33" fillId="3" borderId="9" xfId="11" applyNumberFormat="1" applyFont="1" applyFill="1" applyBorder="1" applyAlignment="1">
      <alignment horizontal="center" vertical="center" wrapText="1"/>
    </xf>
    <xf numFmtId="179" fontId="17" fillId="0" borderId="4" xfId="11" applyNumberFormat="1" applyFont="1" applyBorder="1" applyAlignment="1">
      <alignment horizontal="left" vertical="center" wrapText="1"/>
    </xf>
    <xf numFmtId="179" fontId="25" fillId="0" borderId="4" xfId="11" applyNumberFormat="1" applyFont="1" applyBorder="1" applyAlignment="1">
      <alignment horizontal="left" vertical="center"/>
    </xf>
    <xf numFmtId="10" fontId="25" fillId="0" borderId="0" xfId="11" quotePrefix="1" applyNumberFormat="1" applyFont="1" applyAlignment="1">
      <alignment horizontal="left" vertical="center" wrapText="1"/>
    </xf>
    <xf numFmtId="179" fontId="33" fillId="12" borderId="12" xfId="0" applyNumberFormat="1" applyFont="1" applyFill="1" applyBorder="1">
      <alignment vertical="center"/>
    </xf>
    <xf numFmtId="179" fontId="33" fillId="12" borderId="11" xfId="0" applyNumberFormat="1" applyFont="1" applyFill="1" applyBorder="1">
      <alignment vertical="center"/>
    </xf>
    <xf numFmtId="177" fontId="33" fillId="12" borderId="8" xfId="11" applyNumberFormat="1" applyFont="1" applyFill="1" applyBorder="1" applyAlignment="1">
      <alignment horizontal="center" vertical="center"/>
    </xf>
    <xf numFmtId="9" fontId="33" fillId="12" borderId="8" xfId="2" applyFont="1" applyFill="1" applyBorder="1" applyAlignment="1">
      <alignment horizontal="center" vertical="center"/>
    </xf>
    <xf numFmtId="179" fontId="33" fillId="12" borderId="8" xfId="11" applyNumberFormat="1" applyFont="1" applyFill="1" applyBorder="1" applyAlignment="1">
      <alignment horizontal="center" vertical="center"/>
    </xf>
    <xf numFmtId="182" fontId="25" fillId="13" borderId="4" xfId="0" applyNumberFormat="1" applyFont="1" applyFill="1" applyBorder="1">
      <alignment vertical="center"/>
    </xf>
    <xf numFmtId="10" fontId="25" fillId="13" borderId="4" xfId="23" applyNumberFormat="1" applyFont="1" applyFill="1" applyBorder="1" applyAlignment="1">
      <alignment vertical="center"/>
    </xf>
    <xf numFmtId="182" fontId="17" fillId="14" borderId="4" xfId="0" applyNumberFormat="1" applyFont="1" applyFill="1" applyBorder="1">
      <alignment vertical="center"/>
    </xf>
    <xf numFmtId="10" fontId="25" fillId="14" borderId="4" xfId="23" applyNumberFormat="1" applyFont="1" applyFill="1" applyBorder="1" applyAlignment="1">
      <alignment vertical="center"/>
    </xf>
    <xf numFmtId="179" fontId="21" fillId="0" borderId="4" xfId="11" quotePrefix="1" applyNumberFormat="1" applyFont="1" applyBorder="1" applyAlignment="1">
      <alignment horizontal="left" vertical="center"/>
    </xf>
    <xf numFmtId="179" fontId="5" fillId="0" borderId="3" xfId="11" quotePrefix="1" applyNumberFormat="1" applyFont="1" applyBorder="1" applyAlignment="1">
      <alignment vertical="center" wrapText="1"/>
    </xf>
    <xf numFmtId="179" fontId="21" fillId="0" borderId="4" xfId="11" quotePrefix="1" applyNumberFormat="1" applyFont="1" applyBorder="1" applyAlignment="1">
      <alignment vertical="center" wrapText="1"/>
    </xf>
    <xf numFmtId="179" fontId="17" fillId="0" borderId="4" xfId="11" quotePrefix="1" applyNumberFormat="1" applyFont="1" applyBorder="1" applyAlignment="1">
      <alignment horizontal="left" vertical="center" wrapText="1"/>
    </xf>
    <xf numFmtId="179" fontId="5" fillId="0" borderId="4" xfId="11" applyNumberFormat="1" applyFont="1" applyBorder="1" applyAlignment="1">
      <alignment horizontal="left" vertical="center" wrapText="1"/>
    </xf>
    <xf numFmtId="179" fontId="25" fillId="0" borderId="4" xfId="11" quotePrefix="1" applyNumberFormat="1" applyFont="1" applyBorder="1" applyAlignment="1">
      <alignment horizontal="left" vertical="center" wrapText="1"/>
    </xf>
    <xf numFmtId="179" fontId="35" fillId="0" borderId="4" xfId="11" applyNumberFormat="1" applyFont="1" applyBorder="1" applyAlignment="1">
      <alignment horizontal="left" vertical="center" wrapText="1"/>
    </xf>
    <xf numFmtId="179" fontId="5" fillId="0" borderId="4" xfId="11" quotePrefix="1" applyNumberFormat="1" applyFont="1" applyBorder="1" applyAlignment="1">
      <alignment horizontal="left" vertical="center" wrapText="1"/>
    </xf>
    <xf numFmtId="179" fontId="25" fillId="0" borderId="4" xfId="11" applyNumberFormat="1" applyFont="1" applyBorder="1" applyAlignment="1">
      <alignment vertical="center" wrapText="1"/>
    </xf>
    <xf numFmtId="179" fontId="21" fillId="0" borderId="4" xfId="11" applyNumberFormat="1" applyFont="1" applyBorder="1" applyAlignment="1">
      <alignment vertical="center" wrapText="1"/>
    </xf>
    <xf numFmtId="187" fontId="21" fillId="0" borderId="4" xfId="11" quotePrefix="1" applyNumberFormat="1" applyFont="1" applyBorder="1" applyAlignment="1">
      <alignment horizontal="left" vertical="center" wrapText="1"/>
    </xf>
    <xf numFmtId="179" fontId="21" fillId="0" borderId="3" xfId="11" applyNumberFormat="1" applyFont="1" applyBorder="1" applyAlignment="1">
      <alignment vertical="center" wrapText="1"/>
    </xf>
    <xf numFmtId="179" fontId="5" fillId="0" borderId="4" xfId="0" applyNumberFormat="1" applyFont="1" applyBorder="1" applyAlignment="1">
      <alignment horizontal="left" vertical="center" wrapText="1"/>
    </xf>
    <xf numFmtId="3" fontId="31" fillId="0" borderId="0" xfId="10" applyNumberFormat="1" applyFont="1" applyAlignment="1">
      <alignment horizontal="left" vertical="center"/>
    </xf>
    <xf numFmtId="188" fontId="6" fillId="9" borderId="4" xfId="0" applyNumberFormat="1" applyFont="1" applyFill="1" applyBorder="1" applyAlignment="1">
      <alignment horizontal="right" vertical="center" wrapText="1"/>
    </xf>
    <xf numFmtId="179" fontId="56" fillId="0" borderId="0" xfId="10" applyNumberFormat="1" applyFont="1">
      <alignment vertical="center"/>
    </xf>
    <xf numFmtId="0" fontId="5" fillId="15" borderId="0" xfId="0" applyFont="1" applyFill="1">
      <alignment vertical="center"/>
    </xf>
    <xf numFmtId="0" fontId="5" fillId="15" borderId="0" xfId="0" applyFont="1" applyFill="1" applyAlignment="1">
      <alignment horizontal="left" vertical="center"/>
    </xf>
    <xf numFmtId="14" fontId="5" fillId="15" borderId="0" xfId="0" applyNumberFormat="1" applyFont="1" applyFill="1" applyAlignment="1">
      <alignment horizontal="left" vertical="center"/>
    </xf>
    <xf numFmtId="14" fontId="5" fillId="15" borderId="1" xfId="0" applyNumberFormat="1" applyFont="1" applyFill="1" applyBorder="1" applyAlignment="1">
      <alignment horizontal="left" vertical="center" wrapText="1"/>
    </xf>
    <xf numFmtId="182" fontId="6" fillId="15" borderId="4" xfId="0" applyNumberFormat="1" applyFont="1" applyFill="1" applyBorder="1">
      <alignment vertical="center"/>
    </xf>
    <xf numFmtId="10" fontId="28" fillId="15" borderId="29" xfId="2" applyNumberFormat="1" applyFont="1" applyFill="1" applyBorder="1" applyAlignment="1">
      <alignment horizontal="center" vertical="center"/>
    </xf>
    <xf numFmtId="182" fontId="5" fillId="15" borderId="4" xfId="0" applyNumberFormat="1" applyFont="1" applyFill="1" applyBorder="1">
      <alignment vertical="center"/>
    </xf>
    <xf numFmtId="10" fontId="21" fillId="15" borderId="4" xfId="23" applyNumberFormat="1" applyFont="1" applyFill="1" applyBorder="1" applyAlignment="1">
      <alignment horizontal="center" vertical="center"/>
    </xf>
    <xf numFmtId="182" fontId="21" fillId="15" borderId="4" xfId="0" applyNumberFormat="1" applyFont="1" applyFill="1" applyBorder="1">
      <alignment vertical="center"/>
    </xf>
    <xf numFmtId="10" fontId="28" fillId="15" borderId="0" xfId="2" applyNumberFormat="1" applyFont="1" applyFill="1" applyBorder="1" applyAlignment="1">
      <alignment horizontal="center" vertical="center"/>
    </xf>
    <xf numFmtId="177" fontId="33" fillId="15" borderId="13" xfId="11" applyNumberFormat="1" applyFont="1" applyFill="1" applyBorder="1" applyAlignment="1">
      <alignment horizontal="center" vertical="center"/>
    </xf>
    <xf numFmtId="179" fontId="33" fillId="15" borderId="8" xfId="11" applyNumberFormat="1" applyFont="1" applyFill="1" applyBorder="1" applyAlignment="1">
      <alignment vertical="center"/>
    </xf>
    <xf numFmtId="177" fontId="33" fillId="15" borderId="8" xfId="11" applyNumberFormat="1" applyFont="1" applyFill="1" applyBorder="1" applyAlignment="1">
      <alignment horizontal="center" vertical="center"/>
    </xf>
    <xf numFmtId="9" fontId="33" fillId="15" borderId="8" xfId="2" applyFont="1" applyFill="1" applyBorder="1" applyAlignment="1">
      <alignment horizontal="center" vertical="center"/>
    </xf>
    <xf numFmtId="179" fontId="21" fillId="15" borderId="4" xfId="11" applyNumberFormat="1" applyFont="1" applyFill="1" applyBorder="1" applyAlignment="1">
      <alignment vertical="center"/>
    </xf>
    <xf numFmtId="10" fontId="28" fillId="15" borderId="29" xfId="2" applyNumberFormat="1" applyFont="1" applyFill="1" applyBorder="1" applyAlignment="1">
      <alignment vertical="center"/>
    </xf>
    <xf numFmtId="179" fontId="17" fillId="15" borderId="4" xfId="0" applyNumberFormat="1" applyFont="1" applyFill="1" applyBorder="1">
      <alignment vertical="center"/>
    </xf>
    <xf numFmtId="182" fontId="5" fillId="15" borderId="11" xfId="0" applyNumberFormat="1" applyFont="1" applyFill="1" applyBorder="1">
      <alignment vertical="center"/>
    </xf>
    <xf numFmtId="182" fontId="5" fillId="15" borderId="0" xfId="0" applyNumberFormat="1" applyFont="1" applyFill="1">
      <alignment vertical="center"/>
    </xf>
    <xf numFmtId="179" fontId="5" fillId="15" borderId="4" xfId="0" applyNumberFormat="1" applyFont="1" applyFill="1" applyBorder="1">
      <alignment vertical="center"/>
    </xf>
    <xf numFmtId="182" fontId="17" fillId="15" borderId="4" xfId="0" applyNumberFormat="1" applyFont="1" applyFill="1" applyBorder="1">
      <alignment vertical="center"/>
    </xf>
    <xf numFmtId="179" fontId="33" fillId="15" borderId="0" xfId="11" applyNumberFormat="1" applyFont="1" applyFill="1" applyAlignment="1">
      <alignment vertical="center"/>
    </xf>
    <xf numFmtId="14" fontId="33" fillId="15" borderId="10" xfId="11" applyNumberFormat="1" applyFont="1" applyFill="1" applyBorder="1" applyAlignment="1">
      <alignment horizontal="center" vertical="center"/>
    </xf>
    <xf numFmtId="179" fontId="33" fillId="15" borderId="0" xfId="2" applyNumberFormat="1" applyFont="1" applyFill="1" applyBorder="1" applyAlignment="1">
      <alignment horizontal="center" vertical="center"/>
    </xf>
    <xf numFmtId="10" fontId="28" fillId="15" borderId="4" xfId="2" applyNumberFormat="1" applyFont="1" applyFill="1" applyBorder="1" applyAlignment="1">
      <alignment vertical="center"/>
    </xf>
    <xf numFmtId="182" fontId="25" fillId="15" borderId="4" xfId="0" applyNumberFormat="1" applyFont="1" applyFill="1" applyBorder="1">
      <alignment vertical="center"/>
    </xf>
    <xf numFmtId="10" fontId="25" fillId="15" borderId="4" xfId="23" applyNumberFormat="1" applyFont="1" applyFill="1" applyBorder="1" applyAlignment="1">
      <alignment vertical="center"/>
    </xf>
    <xf numFmtId="188" fontId="6" fillId="15" borderId="4" xfId="0" applyNumberFormat="1" applyFont="1" applyFill="1" applyBorder="1" applyAlignment="1">
      <alignment horizontal="right" vertical="center" wrapText="1"/>
    </xf>
    <xf numFmtId="188" fontId="8" fillId="15" borderId="4" xfId="0" applyNumberFormat="1" applyFont="1" applyFill="1" applyBorder="1" applyAlignment="1">
      <alignment horizontal="right" vertical="center" wrapText="1"/>
    </xf>
    <xf numFmtId="181" fontId="44" fillId="15" borderId="38" xfId="44" applyNumberFormat="1" applyFont="1" applyFill="1" applyBorder="1" applyAlignment="1">
      <alignment vertical="center"/>
    </xf>
    <xf numFmtId="179" fontId="31" fillId="15" borderId="4" xfId="0" applyNumberFormat="1" applyFont="1" applyFill="1" applyBorder="1">
      <alignment vertical="center"/>
    </xf>
    <xf numFmtId="0" fontId="29" fillId="15" borderId="19" xfId="0" applyFont="1" applyFill="1" applyBorder="1">
      <alignment vertical="center"/>
    </xf>
    <xf numFmtId="186" fontId="30" fillId="15" borderId="25" xfId="0" applyNumberFormat="1" applyFont="1" applyFill="1" applyBorder="1" applyAlignment="1">
      <alignment horizontal="center" vertical="center"/>
    </xf>
    <xf numFmtId="186" fontId="30" fillId="15" borderId="25" xfId="0" quotePrefix="1" applyNumberFormat="1" applyFont="1" applyFill="1" applyBorder="1" applyAlignment="1">
      <alignment horizontal="center" vertical="center"/>
    </xf>
    <xf numFmtId="14" fontId="29" fillId="15" borderId="21" xfId="0" quotePrefix="1" applyNumberFormat="1" applyFont="1" applyFill="1" applyBorder="1" applyAlignment="1">
      <alignment horizontal="left" vertical="center"/>
    </xf>
    <xf numFmtId="179" fontId="21" fillId="15" borderId="0" xfId="10" applyNumberFormat="1" applyFont="1" applyFill="1">
      <alignment vertical="center"/>
    </xf>
    <xf numFmtId="0" fontId="61" fillId="0" borderId="0" xfId="0" applyFont="1">
      <alignment vertical="center"/>
    </xf>
    <xf numFmtId="179" fontId="8" fillId="8" borderId="4" xfId="0" applyNumberFormat="1" applyFont="1" applyFill="1" applyBorder="1" applyAlignment="1">
      <alignment horizontal="center" vertical="center" wrapText="1"/>
    </xf>
    <xf numFmtId="179" fontId="0" fillId="7" borderId="0" xfId="0" applyNumberFormat="1" applyFill="1" applyAlignment="1">
      <alignment horizontal="left" vertical="center"/>
    </xf>
    <xf numFmtId="179" fontId="4" fillId="7" borderId="0" xfId="0" applyNumberFormat="1" applyFont="1" applyFill="1" applyAlignment="1">
      <alignment horizontal="left" vertical="center"/>
    </xf>
    <xf numFmtId="0" fontId="42" fillId="8" borderId="18" xfId="0" applyFont="1" applyFill="1" applyBorder="1" applyAlignment="1">
      <alignment horizontal="center" vertical="center"/>
    </xf>
    <xf numFmtId="0" fontId="42" fillId="8" borderId="16" xfId="0" applyFont="1" applyFill="1" applyBorder="1" applyAlignment="1">
      <alignment horizontal="center" vertical="center"/>
    </xf>
    <xf numFmtId="179" fontId="36" fillId="10" borderId="3" xfId="45" applyNumberFormat="1" applyFont="1" applyFill="1" applyBorder="1" applyAlignment="1">
      <alignment horizontal="center" vertical="center" wrapText="1"/>
    </xf>
    <xf numFmtId="179" fontId="36" fillId="10" borderId="46" xfId="45" applyNumberFormat="1" applyFont="1" applyFill="1" applyBorder="1" applyAlignment="1">
      <alignment horizontal="center" vertical="center"/>
    </xf>
    <xf numFmtId="179" fontId="21" fillId="11" borderId="4" xfId="45" applyNumberFormat="1" applyFont="1" applyFill="1" applyBorder="1" applyAlignment="1">
      <alignment horizontal="center" vertical="center"/>
    </xf>
    <xf numFmtId="179" fontId="36" fillId="10" borderId="41" xfId="45" applyNumberFormat="1" applyFont="1" applyFill="1" applyBorder="1" applyAlignment="1">
      <alignment horizontal="center" vertical="center"/>
    </xf>
    <xf numFmtId="179" fontId="36" fillId="10" borderId="40" xfId="45" applyNumberFormat="1" applyFont="1" applyFill="1" applyBorder="1" applyAlignment="1">
      <alignment horizontal="center" vertical="center"/>
    </xf>
    <xf numFmtId="179" fontId="36" fillId="10" borderId="42" xfId="45" applyNumberFormat="1" applyFont="1" applyFill="1" applyBorder="1" applyAlignment="1">
      <alignment horizontal="center" vertical="center"/>
    </xf>
    <xf numFmtId="179" fontId="36" fillId="10" borderId="43" xfId="45" applyNumberFormat="1" applyFont="1" applyFill="1" applyBorder="1" applyAlignment="1">
      <alignment horizontal="center" vertical="center"/>
    </xf>
    <xf numFmtId="179" fontId="36" fillId="10" borderId="44" xfId="45" applyNumberFormat="1" applyFont="1" applyFill="1" applyBorder="1" applyAlignment="1">
      <alignment horizontal="center" vertical="center"/>
    </xf>
    <xf numFmtId="179" fontId="36" fillId="10" borderId="45" xfId="45" applyNumberFormat="1" applyFont="1" applyFill="1" applyBorder="1" applyAlignment="1">
      <alignment horizontal="center" vertical="center"/>
    </xf>
    <xf numFmtId="179" fontId="36" fillId="10" borderId="4" xfId="45" applyNumberFormat="1" applyFont="1" applyFill="1" applyBorder="1" applyAlignment="1">
      <alignment horizontal="center" vertical="center"/>
    </xf>
    <xf numFmtId="179" fontId="36" fillId="10" borderId="3" xfId="45" applyNumberFormat="1" applyFont="1" applyFill="1" applyBorder="1" applyAlignment="1">
      <alignment horizontal="center" vertical="center" shrinkToFit="1"/>
    </xf>
    <xf numFmtId="179" fontId="36" fillId="10" borderId="46" xfId="45" applyNumberFormat="1" applyFont="1" applyFill="1" applyBorder="1" applyAlignment="1">
      <alignment horizontal="center" vertical="center" shrinkToFit="1"/>
    </xf>
    <xf numFmtId="179" fontId="57" fillId="0" borderId="0" xfId="10" applyNumberFormat="1" applyFont="1" applyAlignment="1">
      <alignment horizontal="center" vertical="center"/>
    </xf>
    <xf numFmtId="179" fontId="21" fillId="0" borderId="0" xfId="0" quotePrefix="1" applyNumberFormat="1" applyFont="1" applyAlignment="1">
      <alignment horizontal="center" vertical="center"/>
    </xf>
    <xf numFmtId="177" fontId="34" fillId="3" borderId="26" xfId="11" applyNumberFormat="1" applyFont="1" applyFill="1" applyBorder="1" applyAlignment="1">
      <alignment horizontal="center" vertical="center"/>
    </xf>
    <xf numFmtId="177" fontId="34" fillId="3" borderId="0" xfId="11" applyNumberFormat="1" applyFont="1" applyFill="1" applyAlignment="1">
      <alignment horizontal="center" vertical="center"/>
    </xf>
    <xf numFmtId="177" fontId="34" fillId="3" borderId="27" xfId="11" applyNumberFormat="1" applyFont="1" applyFill="1" applyBorder="1" applyAlignment="1">
      <alignment horizontal="center" vertical="center"/>
    </xf>
    <xf numFmtId="177" fontId="33" fillId="3" borderId="12" xfId="11" applyNumberFormat="1" applyFont="1" applyFill="1" applyBorder="1" applyAlignment="1">
      <alignment horizontal="center" vertical="center"/>
    </xf>
    <xf numFmtId="177" fontId="33" fillId="3" borderId="29" xfId="11" applyNumberFormat="1" applyFont="1" applyFill="1" applyBorder="1" applyAlignment="1">
      <alignment horizontal="center" vertical="center"/>
    </xf>
    <xf numFmtId="179" fontId="33" fillId="3" borderId="9" xfId="11" applyNumberFormat="1" applyFont="1" applyFill="1" applyBorder="1" applyAlignment="1">
      <alignment horizontal="center" vertical="center" wrapText="1"/>
    </xf>
    <xf numFmtId="179" fontId="33" fillId="3" borderId="6" xfId="11" applyNumberFormat="1" applyFont="1" applyFill="1" applyBorder="1" applyAlignment="1">
      <alignment horizontal="center" vertical="center" wrapText="1"/>
    </xf>
    <xf numFmtId="179" fontId="33" fillId="3" borderId="3" xfId="11" applyNumberFormat="1" applyFont="1" applyFill="1" applyBorder="1" applyAlignment="1">
      <alignment horizontal="center" vertical="center" wrapText="1"/>
    </xf>
    <xf numFmtId="179" fontId="33" fillId="3" borderId="2" xfId="11" applyNumberFormat="1" applyFont="1" applyFill="1" applyBorder="1" applyAlignment="1">
      <alignment horizontal="center" vertical="center" wrapText="1"/>
    </xf>
  </cellXfs>
  <cellStyles count="64">
    <cellStyle name="_x000d__x000a_JournalTemplate=C:\COMFO\CTALK\JOURSTD.TPL_x000d__x000a_LbStateAddress=3 3 0 251 1 89 2 311_x000d__x000a_LbStateJou" xfId="32" xr:uid="{F2100BF2-7EAA-46CE-95A5-1A267C2AE518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31" xr:uid="{8E636B44-F7D7-4AA7-B5C3-D4971651FFF6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2" xfId="39" xr:uid="{1EE1C1F7-50BB-45BA-8DBC-F5FB9F3F1AA1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0" xr:uid="{080F6AA7-90DA-4BAA-9EA2-54B687F697D8}"/>
    <cellStyle name="0,0_x000d__x000a_NA_x000d__x000a_" xfId="27" xr:uid="{DC7A3F71-D4F9-40E6-830B-DBB05B8C3BD1}"/>
    <cellStyle name="Comma [0]_(주)볼빅 2002 F S" xfId="33" xr:uid="{112182F7-9B07-4AB7-852B-D7B1434CC43D}"/>
    <cellStyle name="Normal 2" xfId="38" xr:uid="{B9715693-FC02-4800-939D-FEA177C730FB}"/>
    <cellStyle name="Standard 3" xfId="35" xr:uid="{086CBE85-D1AD-4C2B-AF86-E88A14043863}"/>
    <cellStyle name="백분율" xfId="23" builtinId="5"/>
    <cellStyle name="백분율 10" xfId="53" xr:uid="{02D0639B-D9E0-4F93-BD45-285227ED7D32}"/>
    <cellStyle name="백분율 13" xfId="51" xr:uid="{65D26866-A36C-4371-826F-F0346F6A64FF}"/>
    <cellStyle name="백분율 2" xfId="2" xr:uid="{00000000-0005-0000-0000-000001000000}"/>
    <cellStyle name="백분율 3" xfId="3" xr:uid="{00000000-0005-0000-0000-000002000000}"/>
    <cellStyle name="백분율 4" xfId="50" xr:uid="{A66959EC-3FB3-4A93-AAF9-33839A8511B4}"/>
    <cellStyle name="백분율 5" xfId="58" xr:uid="{B66091A9-566E-4DA2-9EB3-FC1C50527672}"/>
    <cellStyle name="쉼표 [0]" xfId="26" builtinId="6"/>
    <cellStyle name="쉼표 [0] 10 2" xfId="28" xr:uid="{13C64092-ECA0-4C49-8D43-163233CBE513}"/>
    <cellStyle name="쉼표 [0] 10 3" xfId="24" xr:uid="{00000000-0005-0000-0000-000004000000}"/>
    <cellStyle name="쉼표 [0] 2" xfId="4" xr:uid="{00000000-0005-0000-0000-000005000000}"/>
    <cellStyle name="쉼표 [0] 2 2" xfId="5" xr:uid="{00000000-0005-0000-0000-000006000000}"/>
    <cellStyle name="쉼표 [0] 2 2 2 4" xfId="44" xr:uid="{7D014978-7B8E-4933-930D-823C58602190}"/>
    <cellStyle name="쉼표 [0] 3" xfId="6" xr:uid="{00000000-0005-0000-0000-000007000000}"/>
    <cellStyle name="쉼표 [0] 3 2" xfId="7" xr:uid="{00000000-0005-0000-0000-000008000000}"/>
    <cellStyle name="쉼표 [0] 38" xfId="55" xr:uid="{6A61AE05-66E4-449F-BF98-F0D5D46F6FCE}"/>
    <cellStyle name="쉼표 [0] 4" xfId="49" xr:uid="{8B98C1B6-8A96-47C5-AB73-8881BCF3325E}"/>
    <cellStyle name="쉼표 [0] 5" xfId="60" xr:uid="{31347029-6E38-48B9-82E3-F570C352C05E}"/>
    <cellStyle name="쉼표 [0]_B3_Summary of Review Differences_0603" xfId="47" xr:uid="{000AAD90-72C4-4F90-A7F4-2AA54CB4CD9F}"/>
    <cellStyle name="쉼표 [0]_B4 Summary of Audit Differences_2009" xfId="46" xr:uid="{D2E747E0-8135-4BAE-ABB7-1090C956FB26}"/>
    <cellStyle name="통화" xfId="34" builtinId="4"/>
    <cellStyle name="표준" xfId="0" builtinId="0"/>
    <cellStyle name="표준 10" xfId="48" xr:uid="{AC1AF5E9-29B5-4B63-9FDF-9D499509E41B}"/>
    <cellStyle name="표준 10 2" xfId="43" xr:uid="{4A0F0CDA-9E9F-48F9-9D32-252C66451485}"/>
    <cellStyle name="표준 10 3" xfId="63" xr:uid="{7BA34E6B-73EC-448B-9ABF-DABA0BBA5337}"/>
    <cellStyle name="표준 101 2 2" xfId="42" xr:uid="{BCCA2B99-61CA-4753-8F57-1B5C2F311D35}"/>
    <cellStyle name="표준 11" xfId="57" xr:uid="{6945CF86-4112-44DA-AB3B-4261D437E2CF}"/>
    <cellStyle name="표준 11 2" xfId="40" xr:uid="{9940DFCC-085B-4B59-89D8-B8FEEDCDD298}"/>
    <cellStyle name="표준 12" xfId="61" xr:uid="{91BA029F-B242-490B-882A-5D7AFE3BC971}"/>
    <cellStyle name="표준 2" xfId="8" xr:uid="{00000000-0005-0000-0000-00000C000000}"/>
    <cellStyle name="표준 2 2" xfId="9" xr:uid="{00000000-0005-0000-0000-00000D000000}"/>
    <cellStyle name="표준 2 2 3" xfId="10" xr:uid="{00000000-0005-0000-0000-00000E000000}"/>
    <cellStyle name="표준 2 3" xfId="1" xr:uid="{00000000-0005-0000-0000-00000F000000}"/>
    <cellStyle name="표준 2 6" xfId="25" xr:uid="{00000000-0005-0000-0000-000010000000}"/>
    <cellStyle name="표준 20 4" xfId="29" xr:uid="{BC2E33B0-BAEC-4DE9-A091-654B4D9D9F75}"/>
    <cellStyle name="표준 28" xfId="62" xr:uid="{64B5D35C-AE3D-41FE-88AC-4CD3D3F839D9}"/>
    <cellStyle name="표준 3" xfId="11" xr:uid="{00000000-0005-0000-0000-000011000000}"/>
    <cellStyle name="표준 3 3" xfId="12" xr:uid="{00000000-0005-0000-0000-000012000000}"/>
    <cellStyle name="표준 34" xfId="54" xr:uid="{C2419D76-C9AA-411A-80EA-E4C1C5426FCC}"/>
    <cellStyle name="표준 39" xfId="52" xr:uid="{1CA25AA1-A4A2-49CB-9008-6381B55855F0}"/>
    <cellStyle name="표준 4" xfId="13" xr:uid="{00000000-0005-0000-0000-000013000000}"/>
    <cellStyle name="표준 5" xfId="14" xr:uid="{00000000-0005-0000-0000-000014000000}"/>
    <cellStyle name="표준 6" xfId="15" xr:uid="{00000000-0005-0000-0000-000015000000}"/>
    <cellStyle name="표준 6 2" xfId="16" xr:uid="{00000000-0005-0000-0000-000016000000}"/>
    <cellStyle name="표준 7" xfId="17" xr:uid="{00000000-0005-0000-0000-000017000000}"/>
    <cellStyle name="표준 7 2 9" xfId="56" xr:uid="{0289C7FD-79A8-462D-918F-275C526A852D}"/>
    <cellStyle name="표준 8" xfId="18" xr:uid="{00000000-0005-0000-0000-000018000000}"/>
    <cellStyle name="표준 8 2" xfId="19" xr:uid="{00000000-0005-0000-0000-000019000000}"/>
    <cellStyle name="표준 9" xfId="41" xr:uid="{675610F0-3803-486C-8DA2-03538EB9DE51}"/>
    <cellStyle name="표준_★3800 유형자산(아모레) " xfId="37" xr:uid="{DCCA15AB-0966-43FD-8B00-2EB5DEE28316}"/>
    <cellStyle name="표준_19.DD-장기차입금등" xfId="36" xr:uid="{C48A9CCB-04F1-415F-86C1-77ADF90DB958}"/>
    <cellStyle name="표준_wp template" xfId="45" xr:uid="{FA323026-F542-4041-BD51-7328063B708F}"/>
    <cellStyle name="하이퍼링크 2" xfId="20" xr:uid="{00000000-0005-0000-0000-00001C000000}"/>
    <cellStyle name="하이퍼링크 3" xfId="21" xr:uid="{00000000-0005-0000-0000-00001D000000}"/>
    <cellStyle name="하이퍼링크 4" xfId="22" xr:uid="{00000000-0005-0000-0000-00001E000000}"/>
    <cellStyle name="하이퍼링크 5" xfId="59" xr:uid="{2CE12FC9-B427-430E-AA5C-D223527FD736}"/>
  </cellStyles>
  <dxfs count="11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0E9F3"/>
        </patternFill>
      </fill>
    </dxf>
    <dxf>
      <fill>
        <patternFill>
          <bgColor rgb="FFC0E9F3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7C80"/>
      <color rgb="FF00A236"/>
      <color rgb="FF66FF99"/>
      <color rgb="FF00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80;&#55141;&#44540;\98&#4420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6603-090D-41CF-9DF4-E81750788EE7}">
  <dimension ref="A1:A16"/>
  <sheetViews>
    <sheetView tabSelected="1" workbookViewId="0"/>
  </sheetViews>
  <sheetFormatPr defaultRowHeight="16.5"/>
  <cols>
    <col min="1" max="1" width="140.625" customWidth="1"/>
  </cols>
  <sheetData>
    <row r="1" spans="1:1">
      <c r="A1" t="s">
        <v>662</v>
      </c>
    </row>
    <row r="2" spans="1:1">
      <c r="A2" t="s">
        <v>663</v>
      </c>
    </row>
    <row r="3" spans="1:1">
      <c r="A3" t="s">
        <v>664</v>
      </c>
    </row>
    <row r="4" spans="1:1">
      <c r="A4" t="s">
        <v>665</v>
      </c>
    </row>
    <row r="5" spans="1:1">
      <c r="A5" t="s">
        <v>666</v>
      </c>
    </row>
    <row r="6" spans="1:1">
      <c r="A6" t="s">
        <v>667</v>
      </c>
    </row>
    <row r="7" spans="1:1">
      <c r="A7" t="s">
        <v>668</v>
      </c>
    </row>
    <row r="8" spans="1:1">
      <c r="A8" s="388" t="s">
        <v>669</v>
      </c>
    </row>
    <row r="9" spans="1:1">
      <c r="A9" t="s">
        <v>670</v>
      </c>
    </row>
    <row r="10" spans="1:1">
      <c r="A10" t="s">
        <v>671</v>
      </c>
    </row>
    <row r="11" spans="1:1">
      <c r="A11" t="s">
        <v>672</v>
      </c>
    </row>
    <row r="12" spans="1:1">
      <c r="A12" t="s">
        <v>673</v>
      </c>
    </row>
    <row r="13" spans="1:1">
      <c r="A13" t="s">
        <v>674</v>
      </c>
    </row>
    <row r="14" spans="1:1">
      <c r="A14" t="s">
        <v>675</v>
      </c>
    </row>
    <row r="15" spans="1:1">
      <c r="A15" t="s">
        <v>676</v>
      </c>
    </row>
    <row r="16" spans="1:1">
      <c r="A16" t="s">
        <v>677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D832-001F-40C4-A111-9EEF05311633}">
  <sheetPr>
    <tabColor theme="6" tint="0.39997558519241921"/>
  </sheetPr>
  <dimension ref="A1:I46"/>
  <sheetViews>
    <sheetView zoomScale="70" zoomScaleNormal="70" workbookViewId="0">
      <selection activeCell="K32" sqref="K32"/>
    </sheetView>
  </sheetViews>
  <sheetFormatPr defaultColWidth="9" defaultRowHeight="16.5"/>
  <cols>
    <col min="1" max="1" width="34.75" style="134" customWidth="1"/>
    <col min="2" max="2" width="16.5" style="134" bestFit="1" customWidth="1"/>
    <col min="3" max="3" width="15.125" style="134" bestFit="1" customWidth="1"/>
    <col min="4" max="4" width="15.375" style="134" bestFit="1" customWidth="1"/>
    <col min="5" max="5" width="14.25" style="134" customWidth="1"/>
    <col min="6" max="6" width="16.875" style="134" customWidth="1"/>
    <col min="7" max="7" width="2.25" style="134" customWidth="1"/>
    <col min="8" max="8" width="15.375" style="134" bestFit="1" customWidth="1"/>
    <col min="9" max="9" width="12.375" style="134" bestFit="1" customWidth="1"/>
    <col min="10" max="10" width="16.625" style="134" bestFit="1" customWidth="1"/>
    <col min="11" max="11" width="17.75" style="134" bestFit="1" customWidth="1"/>
    <col min="12" max="16384" width="9" style="134"/>
  </cols>
  <sheetData>
    <row r="1" spans="1:9">
      <c r="A1" s="134" t="s">
        <v>154</v>
      </c>
    </row>
    <row r="2" spans="1:9">
      <c r="A2" s="134" t="s">
        <v>550</v>
      </c>
    </row>
    <row r="3" spans="1:9">
      <c r="A3" s="134" t="s">
        <v>551</v>
      </c>
    </row>
    <row r="4" spans="1:9">
      <c r="A4" s="134" t="s">
        <v>660</v>
      </c>
    </row>
    <row r="5" spans="1:9">
      <c r="F5" s="135" t="s">
        <v>155</v>
      </c>
    </row>
    <row r="6" spans="1:9">
      <c r="A6" s="136" t="s">
        <v>156</v>
      </c>
      <c r="B6" s="137" t="s">
        <v>157</v>
      </c>
      <c r="C6" s="389" t="s">
        <v>552</v>
      </c>
      <c r="D6" s="389"/>
      <c r="E6" s="389" t="s">
        <v>553</v>
      </c>
      <c r="F6" s="389"/>
    </row>
    <row r="7" spans="1:9">
      <c r="A7" s="138" t="s">
        <v>158</v>
      </c>
      <c r="B7" s="139"/>
      <c r="C7" s="140"/>
      <c r="D7" s="140"/>
      <c r="E7" s="140"/>
      <c r="F7" s="140"/>
    </row>
    <row r="8" spans="1:9">
      <c r="A8" s="138" t="s">
        <v>159</v>
      </c>
      <c r="B8" s="139"/>
      <c r="C8" s="140"/>
      <c r="D8" s="140">
        <f>SUM(C9:C14)</f>
        <v>0</v>
      </c>
      <c r="E8" s="140"/>
      <c r="F8" s="140">
        <f>SUM(E9:E14)</f>
        <v>0</v>
      </c>
      <c r="H8" s="134" t="b">
        <f>D8=FAR!J14</f>
        <v>1</v>
      </c>
      <c r="I8" s="134" t="b">
        <f>F8=FAR!K14</f>
        <v>1</v>
      </c>
    </row>
    <row r="9" spans="1:9">
      <c r="A9" s="141" t="s">
        <v>555</v>
      </c>
      <c r="B9" s="318" t="s">
        <v>558</v>
      </c>
      <c r="C9" s="140">
        <f>SUMIF(FAR!C:C,공시BS!A9,FAR!J:J)</f>
        <v>0</v>
      </c>
      <c r="D9" s="140"/>
      <c r="E9" s="140">
        <f>SUMIF(FAR!C:C,공시BS!A9,FAR!K:K)</f>
        <v>0</v>
      </c>
      <c r="F9" s="140"/>
    </row>
    <row r="10" spans="1:9">
      <c r="A10" s="141" t="s">
        <v>513</v>
      </c>
      <c r="B10" s="318" t="s">
        <v>559</v>
      </c>
      <c r="C10" s="350">
        <f>SUMIF(FAR!C:C,공시BS!A10,FAR!J:J)</f>
        <v>0</v>
      </c>
      <c r="D10" s="140"/>
      <c r="E10" s="140">
        <f>SUMIF(FAR!C:C,공시BS!A10,FAR!K:K)</f>
        <v>0</v>
      </c>
      <c r="F10" s="140"/>
    </row>
    <row r="11" spans="1:9">
      <c r="A11" s="141" t="s">
        <v>515</v>
      </c>
      <c r="B11" s="318" t="s">
        <v>560</v>
      </c>
      <c r="C11" s="140">
        <f>SUMIF(FAR!C:C,공시BS!A11,FAR!J:J)</f>
        <v>0</v>
      </c>
      <c r="D11" s="140"/>
      <c r="E11" s="140">
        <f>SUMIF(FAR!C:C,공시BS!A11,FAR!K:K)</f>
        <v>0</v>
      </c>
      <c r="F11" s="140"/>
    </row>
    <row r="12" spans="1:9">
      <c r="A12" s="141" t="s">
        <v>63</v>
      </c>
      <c r="B12" s="318">
        <v>9</v>
      </c>
      <c r="C12" s="140">
        <f>SUMIF(FAR!C:C,공시BS!A12,FAR!J:J)</f>
        <v>0</v>
      </c>
      <c r="D12" s="140"/>
      <c r="E12" s="140">
        <f>SUMIF(FAR!C:C,공시BS!A12,FAR!K:K)</f>
        <v>0</v>
      </c>
      <c r="F12" s="140"/>
    </row>
    <row r="13" spans="1:9">
      <c r="A13" s="141" t="s">
        <v>64</v>
      </c>
      <c r="B13" s="318">
        <v>7</v>
      </c>
      <c r="C13" s="350">
        <f>SUMIF(FAR!C:C,공시BS!A13,FAR!J:J)</f>
        <v>0</v>
      </c>
      <c r="D13" s="140"/>
      <c r="E13" s="140">
        <f>SUMIF(FAR!C:C,공시BS!A13,FAR!K:K)</f>
        <v>0</v>
      </c>
      <c r="F13" s="140"/>
    </row>
    <row r="14" spans="1:9">
      <c r="A14" s="141" t="s">
        <v>556</v>
      </c>
      <c r="B14" s="318">
        <v>31</v>
      </c>
      <c r="C14" s="140">
        <f>SUMIF(FAR!C:C,공시BS!A14,FAR!J:J)</f>
        <v>0</v>
      </c>
      <c r="D14" s="140"/>
      <c r="E14" s="140">
        <f>SUMIF(FAR!C:C,공시BS!A14,FAR!K:K)</f>
        <v>0</v>
      </c>
      <c r="F14" s="140"/>
    </row>
    <row r="15" spans="1:9">
      <c r="A15" s="138" t="s">
        <v>160</v>
      </c>
      <c r="B15" s="318"/>
      <c r="C15" s="140"/>
      <c r="D15" s="140">
        <f>SUM(C16:C22)</f>
        <v>0</v>
      </c>
      <c r="E15" s="140"/>
      <c r="F15" s="140">
        <f>SUM(E16:E22)</f>
        <v>0</v>
      </c>
      <c r="H15" s="134" t="b">
        <f>D15=FAR!J54</f>
        <v>1</v>
      </c>
      <c r="I15" s="134" t="b">
        <f>F15=FAR!K54</f>
        <v>1</v>
      </c>
    </row>
    <row r="16" spans="1:9">
      <c r="A16" s="141" t="s">
        <v>520</v>
      </c>
      <c r="B16" s="318" t="s">
        <v>559</v>
      </c>
      <c r="C16" s="350">
        <f>SUMIF(FAR!C:C,공시BS!A16,FAR!J:J)</f>
        <v>0</v>
      </c>
      <c r="D16" s="140"/>
      <c r="E16" s="140">
        <f>SUMIF(FAR!C:C,공시BS!A16,FAR!K:K)</f>
        <v>0</v>
      </c>
      <c r="F16" s="140"/>
    </row>
    <row r="17" spans="1:9">
      <c r="A17" s="141" t="s">
        <v>554</v>
      </c>
      <c r="B17" s="318" t="s">
        <v>561</v>
      </c>
      <c r="C17" s="140">
        <f>SUMIF(FAR!C:C,공시BS!A17,FAR!J:J)</f>
        <v>0</v>
      </c>
      <c r="D17" s="140"/>
      <c r="E17" s="140">
        <f>SUMIF(FAR!C:C,공시BS!A17,FAR!K:K)</f>
        <v>0</v>
      </c>
      <c r="F17" s="140"/>
      <c r="I17" s="142"/>
    </row>
    <row r="18" spans="1:9">
      <c r="A18" s="141" t="s">
        <v>525</v>
      </c>
      <c r="B18" s="318">
        <v>10</v>
      </c>
      <c r="C18" s="140">
        <f>SUMIF(FAR!C:C,공시BS!A18,FAR!J:J)</f>
        <v>0</v>
      </c>
      <c r="D18" s="140"/>
      <c r="E18" s="140">
        <f>SUMIF(FAR!C:C,공시BS!A18,FAR!K:K)</f>
        <v>0</v>
      </c>
      <c r="F18" s="140"/>
    </row>
    <row r="19" spans="1:9">
      <c r="A19" s="141" t="s">
        <v>65</v>
      </c>
      <c r="B19" s="318" t="s">
        <v>562</v>
      </c>
      <c r="C19" s="140">
        <f>SUMIF(FAR!C:C,공시BS!A19,FAR!J:J)</f>
        <v>0</v>
      </c>
      <c r="D19" s="140"/>
      <c r="E19" s="140">
        <f>SUMIF(FAR!C:C,공시BS!A19,FAR!K:K)</f>
        <v>0</v>
      </c>
      <c r="F19" s="140"/>
    </row>
    <row r="20" spans="1:9" ht="17.45" customHeight="1">
      <c r="A20" s="141" t="s">
        <v>66</v>
      </c>
      <c r="B20" s="318">
        <v>13</v>
      </c>
      <c r="C20" s="140">
        <f>SUMIF(FAR!C:C,공시BS!A20,FAR!J:J)</f>
        <v>0</v>
      </c>
      <c r="D20" s="140"/>
      <c r="E20" s="140">
        <f>SUMIF(FAR!C:C,공시BS!A20,FAR!K:K)</f>
        <v>0</v>
      </c>
      <c r="F20" s="140"/>
    </row>
    <row r="21" spans="1:9">
      <c r="A21" s="141" t="s">
        <v>67</v>
      </c>
      <c r="B21" s="318">
        <v>31</v>
      </c>
      <c r="C21" s="140">
        <f>SUMIF(FAR!C:C,공시BS!A21,FAR!J:J)</f>
        <v>0</v>
      </c>
      <c r="D21" s="140"/>
      <c r="E21" s="140">
        <f>SUMIF(FAR!C:C,공시BS!A21,FAR!K:K)</f>
        <v>0</v>
      </c>
      <c r="F21" s="140"/>
    </row>
    <row r="22" spans="1:9">
      <c r="A22" s="141" t="s">
        <v>557</v>
      </c>
      <c r="B22" s="318">
        <v>9</v>
      </c>
      <c r="C22" s="140">
        <f>SUMIF(FAR!C:C,공시BS!A22,FAR!J:J)</f>
        <v>0</v>
      </c>
      <c r="D22" s="140"/>
      <c r="E22" s="140">
        <f>SUMIF(FAR!C:C,공시BS!A22,FAR!K:K)</f>
        <v>0</v>
      </c>
      <c r="F22" s="140"/>
    </row>
    <row r="23" spans="1:9">
      <c r="A23" s="143" t="s">
        <v>161</v>
      </c>
      <c r="B23" s="318"/>
      <c r="C23" s="140"/>
      <c r="D23" s="140">
        <f>D8+D15</f>
        <v>0</v>
      </c>
      <c r="E23" s="140"/>
      <c r="F23" s="140">
        <f>F8+F15</f>
        <v>0</v>
      </c>
    </row>
    <row r="24" spans="1:9">
      <c r="A24" s="138" t="s">
        <v>162</v>
      </c>
      <c r="B24" s="318"/>
      <c r="C24" s="140"/>
      <c r="D24" s="140"/>
      <c r="E24" s="140"/>
      <c r="F24" s="140"/>
    </row>
    <row r="25" spans="1:9">
      <c r="A25" s="138" t="s">
        <v>163</v>
      </c>
      <c r="B25" s="318"/>
      <c r="C25" s="140"/>
      <c r="D25" s="140">
        <f>SUM(C26:C30)</f>
        <v>0</v>
      </c>
      <c r="E25" s="140"/>
      <c r="F25" s="140">
        <f>SUM(E26:E30)</f>
        <v>0</v>
      </c>
      <c r="H25" s="134" t="b">
        <f>D25=FAR!J108</f>
        <v>1</v>
      </c>
      <c r="I25" s="134" t="b">
        <f>F25=FAR!K108</f>
        <v>1</v>
      </c>
    </row>
    <row r="26" spans="1:9">
      <c r="A26" s="144" t="s">
        <v>530</v>
      </c>
      <c r="B26" s="318" t="s">
        <v>563</v>
      </c>
      <c r="C26" s="140">
        <f>SUMIF(FAR!C:C,공시BS!A26,FAR!J:J)</f>
        <v>0</v>
      </c>
      <c r="D26" s="140"/>
      <c r="E26" s="140">
        <f>SUMIF(FAR!C:C,공시BS!A26,FAR!K:K)</f>
        <v>0</v>
      </c>
      <c r="F26" s="140"/>
    </row>
    <row r="27" spans="1:9">
      <c r="A27" s="144" t="s">
        <v>532</v>
      </c>
      <c r="B27" s="318" t="s">
        <v>564</v>
      </c>
      <c r="C27" s="140">
        <f>SUMIF(FAR!C:C,공시BS!A27,FAR!J:J)</f>
        <v>0</v>
      </c>
      <c r="D27" s="140"/>
      <c r="E27" s="140">
        <f>SUMIF(FAR!C:C,공시BS!A27,FAR!K:K)</f>
        <v>0</v>
      </c>
      <c r="F27" s="140"/>
    </row>
    <row r="28" spans="1:9">
      <c r="A28" s="144" t="s">
        <v>534</v>
      </c>
      <c r="B28" s="318" t="s">
        <v>565</v>
      </c>
      <c r="C28" s="140">
        <f>SUMIF(FAR!C:C,공시BS!A28,FAR!J:J)</f>
        <v>0</v>
      </c>
      <c r="D28" s="140"/>
      <c r="E28" s="140">
        <f>SUMIF(FAR!C:C,공시BS!A28,FAR!K:K)</f>
        <v>0</v>
      </c>
      <c r="F28" s="140"/>
    </row>
    <row r="29" spans="1:9">
      <c r="A29" s="144" t="s">
        <v>536</v>
      </c>
      <c r="B29" s="318">
        <v>18</v>
      </c>
      <c r="C29" s="140">
        <f>SUMIF(FAR!C:C,공시BS!A29,FAR!J:J)</f>
        <v>0</v>
      </c>
      <c r="D29" s="140"/>
      <c r="E29" s="140">
        <f>SUMIF(FAR!C:C,공시BS!A29,FAR!K:K)</f>
        <v>0</v>
      </c>
      <c r="F29" s="140"/>
    </row>
    <row r="30" spans="1:9">
      <c r="A30" s="144" t="s">
        <v>435</v>
      </c>
      <c r="B30" s="318">
        <v>14</v>
      </c>
      <c r="C30" s="140">
        <f>SUMIF(FAR!C:C,공시BS!A30,FAR!J:J)</f>
        <v>0</v>
      </c>
      <c r="D30" s="140"/>
      <c r="E30" s="140">
        <f>SUMIF(FAR!C:C,공시BS!A30,FAR!K:K)</f>
        <v>0</v>
      </c>
      <c r="F30" s="140"/>
    </row>
    <row r="31" spans="1:9">
      <c r="A31" s="138" t="s">
        <v>164</v>
      </c>
      <c r="B31" s="318"/>
      <c r="C31" s="140"/>
      <c r="D31" s="140">
        <f>SUM(C32:C36)</f>
        <v>0</v>
      </c>
      <c r="E31" s="140"/>
      <c r="F31" s="140">
        <f>SUM(E32:E36)</f>
        <v>0</v>
      </c>
      <c r="H31" s="134" t="b">
        <f>D31=FAR!J146</f>
        <v>1</v>
      </c>
      <c r="I31" s="134" t="b">
        <f>F31=FAR!K146</f>
        <v>1</v>
      </c>
    </row>
    <row r="32" spans="1:9">
      <c r="A32" s="144" t="s">
        <v>567</v>
      </c>
      <c r="B32" s="318" t="s">
        <v>566</v>
      </c>
      <c r="C32" s="140">
        <f>SUMIF(FAR!C:C,공시BS!A32,FAR!J:J)</f>
        <v>0</v>
      </c>
      <c r="D32" s="140"/>
      <c r="E32" s="140">
        <f>SUMIF(FAR!C:C,공시BS!A32,FAR!K:K)</f>
        <v>0</v>
      </c>
      <c r="F32" s="140"/>
    </row>
    <row r="33" spans="1:6">
      <c r="A33" s="144" t="s">
        <v>569</v>
      </c>
      <c r="B33" s="318" t="s">
        <v>564</v>
      </c>
      <c r="C33" s="140">
        <f>SUMIF(FAR!C:C,공시BS!A33,FAR!J:J)</f>
        <v>0</v>
      </c>
      <c r="D33" s="140"/>
      <c r="E33" s="140">
        <f>SUMIF(FAR!C:C,공시BS!A33,FAR!K:K)</f>
        <v>0</v>
      </c>
      <c r="F33" s="140"/>
    </row>
    <row r="34" spans="1:6">
      <c r="A34" s="144" t="s">
        <v>542</v>
      </c>
      <c r="B34" s="318" t="s">
        <v>565</v>
      </c>
      <c r="C34" s="140">
        <f>SUMIF(FAR!C:C,공시BS!A34,FAR!J:J)</f>
        <v>0</v>
      </c>
      <c r="D34" s="140"/>
      <c r="E34" s="140">
        <f>SUMIF(FAR!C:C,공시BS!A34,FAR!K:K)</f>
        <v>0</v>
      </c>
      <c r="F34" s="140"/>
    </row>
    <row r="35" spans="1:6">
      <c r="A35" s="144" t="s">
        <v>539</v>
      </c>
      <c r="B35" s="318">
        <v>19</v>
      </c>
      <c r="C35" s="140">
        <f>SUMIF(FAR!C:C,공시BS!A35,FAR!J:J)</f>
        <v>0</v>
      </c>
      <c r="D35" s="140"/>
      <c r="E35" s="140">
        <f>SUMIF(FAR!C:C,공시BS!A35,FAR!K:K)</f>
        <v>0</v>
      </c>
      <c r="F35" s="140"/>
    </row>
    <row r="36" spans="1:6">
      <c r="A36" s="144" t="s">
        <v>447</v>
      </c>
      <c r="B36" s="318">
        <v>14</v>
      </c>
      <c r="C36" s="140">
        <f>SUMIF(FAR!C:C,공시BS!A36,FAR!J:J)</f>
        <v>0</v>
      </c>
      <c r="D36" s="140"/>
      <c r="E36" s="140">
        <f>SUMIF(FAR!C:C,공시BS!A36,FAR!K:K)</f>
        <v>0</v>
      </c>
      <c r="F36" s="140"/>
    </row>
    <row r="37" spans="1:6">
      <c r="A37" s="143" t="s">
        <v>165</v>
      </c>
      <c r="B37" s="318"/>
      <c r="C37" s="140"/>
      <c r="D37" s="140">
        <f>D25+D31</f>
        <v>0</v>
      </c>
      <c r="E37" s="140"/>
      <c r="F37" s="140">
        <f>F25+F31</f>
        <v>0</v>
      </c>
    </row>
    <row r="38" spans="1:6">
      <c r="A38" s="138" t="s">
        <v>166</v>
      </c>
      <c r="B38" s="318"/>
      <c r="C38" s="140"/>
      <c r="D38" s="140"/>
      <c r="E38" s="140"/>
      <c r="F38" s="140"/>
    </row>
    <row r="39" spans="1:6">
      <c r="A39" s="138" t="s">
        <v>167</v>
      </c>
      <c r="B39" s="318">
        <v>20</v>
      </c>
      <c r="C39" s="140"/>
      <c r="D39" s="140">
        <f>FAR!J179</f>
        <v>0</v>
      </c>
      <c r="E39" s="140">
        <f>SUMIF(FAR!D:D,공시BS!A39,FAR!K:K)</f>
        <v>0</v>
      </c>
      <c r="F39" s="140">
        <f>FAR!K179</f>
        <v>0</v>
      </c>
    </row>
    <row r="40" spans="1:6">
      <c r="A40" s="138" t="s">
        <v>168</v>
      </c>
      <c r="B40" s="318">
        <v>21</v>
      </c>
      <c r="C40" s="140"/>
      <c r="D40" s="140">
        <f>FAR!J181</f>
        <v>0</v>
      </c>
      <c r="E40" s="145"/>
      <c r="F40" s="140">
        <f>FAR!K181</f>
        <v>0</v>
      </c>
    </row>
    <row r="41" spans="1:6">
      <c r="A41" s="138" t="s">
        <v>571</v>
      </c>
      <c r="B41" s="318">
        <v>22</v>
      </c>
      <c r="C41" s="140"/>
      <c r="D41" s="140">
        <f>FAR!J184</f>
        <v>0</v>
      </c>
      <c r="E41" s="145"/>
      <c r="F41" s="140">
        <f>FAR!K184</f>
        <v>0</v>
      </c>
    </row>
    <row r="42" spans="1:6">
      <c r="A42" s="138" t="s">
        <v>236</v>
      </c>
      <c r="B42" s="318">
        <v>23</v>
      </c>
      <c r="C42" s="140"/>
      <c r="D42" s="140">
        <f>FAR!J189</f>
        <v>0</v>
      </c>
      <c r="E42" s="145"/>
      <c r="F42" s="140">
        <f>FAR!K189</f>
        <v>0</v>
      </c>
    </row>
    <row r="43" spans="1:6">
      <c r="A43" s="138" t="s">
        <v>237</v>
      </c>
      <c r="B43" s="139"/>
      <c r="C43" s="140"/>
      <c r="D43" s="140">
        <f>FAR!J193</f>
        <v>0</v>
      </c>
      <c r="E43" s="145"/>
      <c r="F43" s="140">
        <f>FAR!K193</f>
        <v>0</v>
      </c>
    </row>
    <row r="44" spans="1:6">
      <c r="A44" s="143" t="s">
        <v>169</v>
      </c>
      <c r="B44" s="139"/>
      <c r="C44" s="140"/>
      <c r="D44" s="140">
        <f>SUM(D39:D43)</f>
        <v>0</v>
      </c>
      <c r="E44" s="140"/>
      <c r="F44" s="140">
        <f>SUM(F39:F43)</f>
        <v>0</v>
      </c>
    </row>
    <row r="45" spans="1:6">
      <c r="A45" s="143" t="s">
        <v>170</v>
      </c>
      <c r="B45" s="139"/>
      <c r="C45" s="140"/>
      <c r="D45" s="140">
        <f>D37+D44</f>
        <v>0</v>
      </c>
      <c r="E45" s="140"/>
      <c r="F45" s="140">
        <f>F37+F44</f>
        <v>0</v>
      </c>
    </row>
    <row r="46" spans="1:6">
      <c r="A46" s="146"/>
      <c r="B46" s="146"/>
      <c r="C46" s="146"/>
      <c r="D46" s="146" t="b">
        <f>D45=D23</f>
        <v>1</v>
      </c>
      <c r="E46" s="146"/>
      <c r="F46" s="146" t="b">
        <f>F45=F23</f>
        <v>1</v>
      </c>
    </row>
  </sheetData>
  <mergeCells count="2">
    <mergeCell ref="C6:D6"/>
    <mergeCell ref="E6:F6"/>
  </mergeCells>
  <phoneticPr fontId="3" type="noConversion"/>
  <conditionalFormatting sqref="A1:XFD1048576">
    <cfRule type="containsText" dxfId="10" priority="1" operator="containsText" text="TRUE">
      <formula>NOT(ISERROR(SEARCH("TRUE",A1)))</formula>
    </cfRule>
    <cfRule type="containsText" dxfId="9" priority="2" operator="containsText" text="FALSE">
      <formula>NOT(ISERROR(SEARCH("FALSE",A1)))</formula>
    </cfRule>
  </conditionalFormatting>
  <pageMargins left="0.7" right="0.7" top="0.75" bottom="0.75" header="0.3" footer="0.3"/>
  <pageSetup paperSize="9" scale="61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127-AEA5-4B34-AA93-DE4AD794769F}">
  <sheetPr>
    <tabColor theme="6" tint="0.39997558519241921"/>
  </sheetPr>
  <dimension ref="A1:M30"/>
  <sheetViews>
    <sheetView zoomScale="85" zoomScaleNormal="85" workbookViewId="0">
      <selection activeCell="C22" sqref="C22"/>
    </sheetView>
  </sheetViews>
  <sheetFormatPr defaultColWidth="9" defaultRowHeight="16.5"/>
  <cols>
    <col min="1" max="1" width="27.625" style="134" bestFit="1" customWidth="1"/>
    <col min="2" max="3" width="13.375" style="134" customWidth="1"/>
    <col min="4" max="4" width="14.25" style="134" bestFit="1" customWidth="1"/>
    <col min="5" max="6" width="14.25" style="134" customWidth="1"/>
    <col min="7" max="7" width="1.75" style="134" customWidth="1"/>
    <col min="8" max="8" width="12.375" style="134" bestFit="1" customWidth="1"/>
    <col min="9" max="9" width="1.75" style="134" customWidth="1"/>
    <col min="10" max="10" width="13.875" style="134" bestFit="1" customWidth="1"/>
    <col min="11" max="11" width="16.625" style="134" bestFit="1" customWidth="1"/>
    <col min="12" max="12" width="16.75" style="134" customWidth="1"/>
    <col min="13" max="13" width="18.75" style="134" bestFit="1" customWidth="1"/>
    <col min="14" max="14" width="17.75" style="134" bestFit="1" customWidth="1"/>
    <col min="15" max="16384" width="9" style="134"/>
  </cols>
  <sheetData>
    <row r="1" spans="1:13">
      <c r="A1" s="134" t="s">
        <v>171</v>
      </c>
    </row>
    <row r="2" spans="1:13">
      <c r="A2" s="134" t="s">
        <v>572</v>
      </c>
    </row>
    <row r="3" spans="1:13">
      <c r="A3" s="134" t="s">
        <v>573</v>
      </c>
    </row>
    <row r="4" spans="1:13">
      <c r="A4" s="390" t="str">
        <f>공시BS!A4</f>
        <v>[회사명]</v>
      </c>
      <c r="B4" s="390"/>
      <c r="C4" s="390"/>
      <c r="D4" s="390"/>
      <c r="E4" s="147"/>
      <c r="F4" s="147"/>
    </row>
    <row r="5" spans="1:13">
      <c r="F5" s="135" t="s">
        <v>155</v>
      </c>
    </row>
    <row r="6" spans="1:13">
      <c r="A6" s="137" t="s">
        <v>156</v>
      </c>
      <c r="B6" s="137" t="s">
        <v>157</v>
      </c>
      <c r="C6" s="389" t="s">
        <v>574</v>
      </c>
      <c r="D6" s="389"/>
      <c r="E6" s="389" t="s">
        <v>575</v>
      </c>
      <c r="F6" s="389"/>
      <c r="K6" s="137" t="s">
        <v>172</v>
      </c>
      <c r="L6" s="137" t="s">
        <v>173</v>
      </c>
      <c r="M6" s="137" t="s">
        <v>174</v>
      </c>
    </row>
    <row r="7" spans="1:13">
      <c r="A7" s="139" t="s">
        <v>175</v>
      </c>
      <c r="B7" s="318" t="s">
        <v>576</v>
      </c>
      <c r="C7" s="148"/>
      <c r="D7" s="140">
        <f>SUMIF(FAR!C:C,공시IS!A7,FAR!J:J)</f>
        <v>0</v>
      </c>
      <c r="E7" s="145"/>
      <c r="F7" s="140">
        <f>SUMIF(FAR!C:C,공시IS!A7,FAR!K:K)</f>
        <v>0</v>
      </c>
      <c r="K7" s="379"/>
      <c r="L7" s="140">
        <f t="shared" ref="L7:L25" si="0">M7-K7</f>
        <v>0</v>
      </c>
      <c r="M7" s="140">
        <f>D7</f>
        <v>0</v>
      </c>
    </row>
    <row r="8" spans="1:13">
      <c r="A8" s="139" t="s">
        <v>176</v>
      </c>
      <c r="B8" s="318" t="s">
        <v>577</v>
      </c>
      <c r="C8" s="148"/>
      <c r="D8" s="140">
        <f>SUMIF(FAR!C:C,공시IS!A8,FAR!J:J)</f>
        <v>0</v>
      </c>
      <c r="E8" s="145"/>
      <c r="F8" s="140">
        <f>SUMIF(FAR!C:C,공시IS!A8,FAR!K:K)</f>
        <v>0</v>
      </c>
      <c r="K8" s="379"/>
      <c r="L8" s="140">
        <f t="shared" si="0"/>
        <v>0</v>
      </c>
      <c r="M8" s="140">
        <f>D8</f>
        <v>0</v>
      </c>
    </row>
    <row r="9" spans="1:13">
      <c r="A9" s="139" t="s">
        <v>177</v>
      </c>
      <c r="B9" s="318"/>
      <c r="C9" s="148"/>
      <c r="D9" s="140">
        <f>D7-D8</f>
        <v>0</v>
      </c>
      <c r="E9" s="145"/>
      <c r="F9" s="140">
        <f>F7-F8</f>
        <v>0</v>
      </c>
      <c r="K9" s="379"/>
      <c r="L9" s="140">
        <f t="shared" si="0"/>
        <v>0</v>
      </c>
      <c r="M9" s="140">
        <f>M7-M8</f>
        <v>0</v>
      </c>
    </row>
    <row r="10" spans="1:13">
      <c r="A10" s="149" t="s">
        <v>252</v>
      </c>
      <c r="B10" s="318" t="s">
        <v>578</v>
      </c>
      <c r="C10" s="148"/>
      <c r="D10" s="140">
        <f>SUMIF(FAR!C:C,공시IS!A10,FAR!J:J)</f>
        <v>0</v>
      </c>
      <c r="E10" s="145"/>
      <c r="F10" s="140">
        <f>SUMIF(FAR!C:C,공시IS!A10,FAR!K:K)</f>
        <v>0</v>
      </c>
      <c r="K10" s="379"/>
      <c r="L10" s="140">
        <f t="shared" si="0"/>
        <v>0</v>
      </c>
      <c r="M10" s="140">
        <f>D10</f>
        <v>0</v>
      </c>
    </row>
    <row r="11" spans="1:13">
      <c r="A11" s="139" t="s">
        <v>178</v>
      </c>
      <c r="B11" s="318"/>
      <c r="C11" s="148"/>
      <c r="D11" s="140">
        <f>D9-D10</f>
        <v>0</v>
      </c>
      <c r="E11" s="140"/>
      <c r="F11" s="140">
        <f>F9-F10</f>
        <v>0</v>
      </c>
      <c r="H11" s="134" t="b">
        <f>D11=FAR!J259</f>
        <v>1</v>
      </c>
      <c r="J11" s="134" t="b">
        <f>F11=FAR!K259</f>
        <v>1</v>
      </c>
      <c r="K11" s="379"/>
      <c r="L11" s="140">
        <f t="shared" si="0"/>
        <v>0</v>
      </c>
      <c r="M11" s="140">
        <f>M9-M10</f>
        <v>0</v>
      </c>
    </row>
    <row r="12" spans="1:13">
      <c r="A12" s="149" t="s">
        <v>181</v>
      </c>
      <c r="B12" s="318" t="s">
        <v>579</v>
      </c>
      <c r="C12" s="140">
        <f>SUMIF(FAR!C:C,공시IS!A12,FAR!J:J)</f>
        <v>0</v>
      </c>
      <c r="D12" s="145"/>
      <c r="E12" s="379"/>
      <c r="F12" s="140"/>
      <c r="K12" s="379"/>
      <c r="L12" s="140">
        <f t="shared" si="0"/>
        <v>0</v>
      </c>
      <c r="M12" s="140">
        <f>C12</f>
        <v>0</v>
      </c>
    </row>
    <row r="13" spans="1:13">
      <c r="A13" s="149" t="s">
        <v>182</v>
      </c>
      <c r="B13" s="318" t="s">
        <v>579</v>
      </c>
      <c r="C13" s="140">
        <f>SUMIF(FAR!C:C,공시IS!A13,FAR!J:J)</f>
        <v>0</v>
      </c>
      <c r="D13" s="145"/>
      <c r="E13" s="379"/>
      <c r="F13" s="140"/>
      <c r="K13" s="379"/>
      <c r="L13" s="140">
        <f t="shared" si="0"/>
        <v>0</v>
      </c>
      <c r="M13" s="140">
        <f t="shared" ref="M13" si="1">C13</f>
        <v>0</v>
      </c>
    </row>
    <row r="14" spans="1:13">
      <c r="A14" s="149" t="s">
        <v>179</v>
      </c>
      <c r="B14" s="318">
        <v>28</v>
      </c>
      <c r="C14" s="140">
        <f>SUMIF(FAR!C:C,공시IS!A14,FAR!J:J)</f>
        <v>0</v>
      </c>
      <c r="D14" s="145"/>
      <c r="E14" s="140">
        <f>SUMIF(FAR!C:C,공시IS!A14,FAR!K:K)</f>
        <v>0</v>
      </c>
      <c r="F14" s="140"/>
      <c r="K14" s="379"/>
      <c r="L14" s="140">
        <f>M14-K14</f>
        <v>0</v>
      </c>
      <c r="M14" s="140">
        <f>C14</f>
        <v>0</v>
      </c>
    </row>
    <row r="15" spans="1:13">
      <c r="A15" s="149" t="s">
        <v>180</v>
      </c>
      <c r="B15" s="318">
        <v>28</v>
      </c>
      <c r="C15" s="140">
        <f>SUMIF(FAR!C:C,공시IS!A15,FAR!J:J)</f>
        <v>0</v>
      </c>
      <c r="D15" s="145"/>
      <c r="E15" s="140">
        <f>SUMIF(FAR!C:C,공시IS!A15,FAR!K:K)</f>
        <v>0</v>
      </c>
      <c r="F15" s="140"/>
      <c r="K15" s="379"/>
      <c r="L15" s="140">
        <f>M15-K15</f>
        <v>0</v>
      </c>
      <c r="M15" s="140">
        <f>C15</f>
        <v>0</v>
      </c>
    </row>
    <row r="16" spans="1:13" ht="27">
      <c r="A16" s="149" t="s">
        <v>584</v>
      </c>
      <c r="B16" s="319" t="s">
        <v>580</v>
      </c>
      <c r="C16" s="140">
        <f>SUMIF(FAR!C:C,공시IS!A16,FAR!J:J)</f>
        <v>0</v>
      </c>
      <c r="D16" s="145"/>
      <c r="E16" s="379"/>
      <c r="F16" s="140"/>
      <c r="K16" s="379"/>
      <c r="L16" s="140">
        <f t="shared" ref="L16:L17" si="2">M16-K16</f>
        <v>0</v>
      </c>
      <c r="M16" s="140">
        <f t="shared" ref="M16" si="3">C16</f>
        <v>0</v>
      </c>
    </row>
    <row r="17" spans="1:13">
      <c r="A17" s="139" t="s">
        <v>183</v>
      </c>
      <c r="B17" s="319"/>
      <c r="C17" s="145"/>
      <c r="D17" s="140">
        <f>D11+C12-C13+C14-C15+C16</f>
        <v>0</v>
      </c>
      <c r="E17" s="140"/>
      <c r="F17" s="140">
        <f>F11+E12-E13+E14-E15+E16</f>
        <v>0</v>
      </c>
      <c r="H17" s="134" t="b">
        <f>D17=FAR!J315</f>
        <v>1</v>
      </c>
      <c r="J17" s="134" t="b">
        <f>F17=FAR!K315</f>
        <v>1</v>
      </c>
      <c r="K17" s="140">
        <f>K11+K12+K14+K16-K13-K15</f>
        <v>0</v>
      </c>
      <c r="L17" s="140">
        <f t="shared" si="2"/>
        <v>0</v>
      </c>
      <c r="M17" s="140">
        <f>M11+M12+M14+M16-M13-M15</f>
        <v>0</v>
      </c>
    </row>
    <row r="18" spans="1:13">
      <c r="A18" s="139" t="s">
        <v>254</v>
      </c>
      <c r="B18" s="318">
        <v>31</v>
      </c>
      <c r="C18" s="148"/>
      <c r="D18" s="140">
        <f>SUMIF(FAR!C:C,공시IS!A18,FAR!J:J)</f>
        <v>0</v>
      </c>
      <c r="E18" s="145"/>
      <c r="F18" s="140">
        <f>SUMIF(FAR!C:C,공시IS!A18,FAR!K:K)</f>
        <v>0</v>
      </c>
      <c r="K18" s="379"/>
      <c r="L18" s="140">
        <f t="shared" si="0"/>
        <v>0</v>
      </c>
      <c r="M18" s="140">
        <f>D18</f>
        <v>0</v>
      </c>
    </row>
    <row r="19" spans="1:13">
      <c r="A19" s="139" t="s">
        <v>184</v>
      </c>
      <c r="B19" s="318"/>
      <c r="C19" s="148"/>
      <c r="D19" s="140">
        <f>D17-D18</f>
        <v>0</v>
      </c>
      <c r="E19" s="140"/>
      <c r="F19" s="140">
        <f>F17-F18</f>
        <v>0</v>
      </c>
      <c r="H19" s="134" t="b">
        <f>D19=FAR!J318</f>
        <v>1</v>
      </c>
      <c r="J19" s="134" t="b">
        <f>F19=FAR!K318</f>
        <v>1</v>
      </c>
      <c r="K19" s="140">
        <f>K17-K18</f>
        <v>0</v>
      </c>
      <c r="L19" s="140">
        <f t="shared" si="0"/>
        <v>0</v>
      </c>
      <c r="M19" s="140">
        <f>M17-M18</f>
        <v>0</v>
      </c>
    </row>
    <row r="20" spans="1:13">
      <c r="A20" s="139" t="s">
        <v>185</v>
      </c>
      <c r="B20" s="318"/>
      <c r="C20" s="148"/>
      <c r="D20" s="140">
        <f>D23+D21</f>
        <v>0</v>
      </c>
      <c r="E20" s="140"/>
      <c r="F20" s="140">
        <f>F23+F21</f>
        <v>0</v>
      </c>
      <c r="K20" s="140">
        <f>K23+K21</f>
        <v>0</v>
      </c>
      <c r="L20" s="140">
        <f t="shared" si="0"/>
        <v>0</v>
      </c>
      <c r="M20" s="140">
        <f>M21+M23</f>
        <v>0</v>
      </c>
    </row>
    <row r="21" spans="1:13" ht="27">
      <c r="A21" s="139" t="s">
        <v>240</v>
      </c>
      <c r="B21" s="318"/>
      <c r="C21" s="148"/>
      <c r="D21" s="140">
        <f>SUM(C22:C22)</f>
        <v>0</v>
      </c>
      <c r="E21" s="140"/>
      <c r="F21" s="140">
        <f>SUM(E22:E22)</f>
        <v>0</v>
      </c>
      <c r="K21" s="140">
        <f>K22</f>
        <v>0</v>
      </c>
      <c r="L21" s="140">
        <f>M21-K21</f>
        <v>0</v>
      </c>
      <c r="M21" s="140">
        <f>M22</f>
        <v>0</v>
      </c>
    </row>
    <row r="22" spans="1:13">
      <c r="A22" s="149" t="s">
        <v>241</v>
      </c>
      <c r="B22" s="318" t="s">
        <v>581</v>
      </c>
      <c r="C22" s="140">
        <f>SUMIF(FAR!C:C,공시IS!A22,FAR!J:J)</f>
        <v>0</v>
      </c>
      <c r="D22" s="145"/>
      <c r="E22" s="140">
        <f>SUMIF(FAR!C:C,공시IS!A22,FAR!K:K)</f>
        <v>0</v>
      </c>
      <c r="F22" s="140"/>
      <c r="K22" s="379"/>
      <c r="L22" s="140">
        <f t="shared" ref="L22" si="4">M22-K22</f>
        <v>0</v>
      </c>
      <c r="M22" s="140">
        <f>C22</f>
        <v>0</v>
      </c>
    </row>
    <row r="23" spans="1:13" ht="27">
      <c r="A23" s="139" t="s">
        <v>186</v>
      </c>
      <c r="B23" s="318"/>
      <c r="C23" s="148"/>
      <c r="D23" s="140">
        <f>SUM(C24:C25)</f>
        <v>0</v>
      </c>
      <c r="E23" s="140"/>
      <c r="F23" s="140">
        <f>SUM(E24:E25)</f>
        <v>0</v>
      </c>
      <c r="K23" s="140">
        <f>SUM(K24:K25)</f>
        <v>0</v>
      </c>
      <c r="L23" s="140">
        <f t="shared" si="0"/>
        <v>0</v>
      </c>
      <c r="M23" s="140">
        <f>SUM(M24:M25)</f>
        <v>0</v>
      </c>
    </row>
    <row r="24" spans="1:13">
      <c r="A24" s="149" t="s">
        <v>187</v>
      </c>
      <c r="B24" s="318">
        <v>19</v>
      </c>
      <c r="C24" s="140">
        <f>SUMIF(FAR!C:C,공시IS!A24,FAR!J:J)</f>
        <v>0</v>
      </c>
      <c r="D24" s="145"/>
      <c r="E24" s="379"/>
      <c r="F24" s="140"/>
      <c r="K24" s="379"/>
      <c r="L24" s="140">
        <f t="shared" si="0"/>
        <v>0</v>
      </c>
      <c r="M24" s="140">
        <f>C24</f>
        <v>0</v>
      </c>
    </row>
    <row r="25" spans="1:13">
      <c r="A25" s="149" t="s">
        <v>587</v>
      </c>
      <c r="B25" s="318" t="s">
        <v>582</v>
      </c>
      <c r="C25" s="140">
        <f>SUMIF(FAR!C:C,공시IS!A25,FAR!J:J)</f>
        <v>0</v>
      </c>
      <c r="D25" s="145"/>
      <c r="E25" s="379"/>
      <c r="F25" s="140"/>
      <c r="K25" s="379"/>
      <c r="L25" s="140">
        <f t="shared" si="0"/>
        <v>0</v>
      </c>
      <c r="M25" s="140">
        <f>C25</f>
        <v>0</v>
      </c>
    </row>
    <row r="26" spans="1:13">
      <c r="A26" s="139" t="s">
        <v>188</v>
      </c>
      <c r="B26" s="318"/>
      <c r="C26" s="148"/>
      <c r="D26" s="140">
        <f>D19+D20</f>
        <v>0</v>
      </c>
      <c r="E26" s="140"/>
      <c r="F26" s="140">
        <f>F19+F20</f>
        <v>0</v>
      </c>
      <c r="H26" s="134" t="b">
        <f>D26=FAR!J328</f>
        <v>1</v>
      </c>
      <c r="J26" s="134" t="b">
        <f>F26=FAR!K328</f>
        <v>1</v>
      </c>
      <c r="K26" s="140">
        <f>K19+K20</f>
        <v>0</v>
      </c>
      <c r="L26" s="140">
        <f>L19+L20</f>
        <v>0</v>
      </c>
      <c r="M26" s="140">
        <f>M19+M20</f>
        <v>0</v>
      </c>
    </row>
    <row r="27" spans="1:13">
      <c r="A27" s="139" t="s">
        <v>189</v>
      </c>
      <c r="B27" s="318" t="s">
        <v>190</v>
      </c>
      <c r="C27" s="148"/>
      <c r="D27" s="140"/>
      <c r="E27" s="140"/>
      <c r="F27" s="140"/>
      <c r="K27" s="140"/>
      <c r="L27" s="140"/>
      <c r="M27" s="294"/>
    </row>
    <row r="28" spans="1:13">
      <c r="A28" s="139" t="s">
        <v>191</v>
      </c>
      <c r="B28" s="318"/>
      <c r="C28" s="148"/>
      <c r="D28" s="150"/>
      <c r="E28" s="150"/>
      <c r="F28" s="150"/>
      <c r="K28" s="379"/>
      <c r="L28" s="140">
        <f>M28-K28</f>
        <v>0</v>
      </c>
      <c r="M28" s="140">
        <f>D28</f>
        <v>0</v>
      </c>
    </row>
    <row r="30" spans="1:13">
      <c r="D30" s="151" t="e">
        <f>D18/D17</f>
        <v>#DIV/0!</v>
      </c>
      <c r="F30" s="151" t="e">
        <f>F18/F17</f>
        <v>#DIV/0!</v>
      </c>
      <c r="H30" s="152"/>
      <c r="I30" s="152"/>
    </row>
  </sheetData>
  <mergeCells count="3">
    <mergeCell ref="A4:D4"/>
    <mergeCell ref="C6:D6"/>
    <mergeCell ref="E6:F6"/>
  </mergeCells>
  <phoneticPr fontId="3" type="noConversion"/>
  <conditionalFormatting sqref="A1:XFD26 A27:L27 N27:XFD27 A28:XFD28 A29:J29 N29:XFD29 A30:XFD1048576">
    <cfRule type="containsText" dxfId="8" priority="1" operator="containsText" text="TRUE">
      <formula>NOT(ISERROR(SEARCH("TRUE",A1)))</formula>
    </cfRule>
  </conditionalFormatting>
  <pageMargins left="0.7" right="0.7" top="0.75" bottom="0.75" header="0.3" footer="0.3"/>
  <pageSetup paperSize="9" scale="64" orientation="portrait" horizontalDpi="4294967292" r:id="rId1"/>
  <colBreaks count="1" manualBreakCount="1">
    <brk id="6" max="2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B9E1-1439-4897-A516-CFB45399ABA9}">
  <sheetPr>
    <tabColor theme="6" tint="0.39997558519241921"/>
  </sheetPr>
  <dimension ref="A1:G31"/>
  <sheetViews>
    <sheetView zoomScale="85" zoomScaleNormal="85" workbookViewId="0">
      <selection activeCell="E26" sqref="E26"/>
    </sheetView>
  </sheetViews>
  <sheetFormatPr defaultColWidth="9" defaultRowHeight="16.5"/>
  <cols>
    <col min="1" max="1" width="29.25" style="134" customWidth="1"/>
    <col min="2" max="7" width="19.125" style="134" customWidth="1"/>
    <col min="8" max="8" width="12" style="134" bestFit="1" customWidth="1"/>
    <col min="9" max="16384" width="9" style="134"/>
  </cols>
  <sheetData>
    <row r="1" spans="1:7">
      <c r="A1" s="134" t="s">
        <v>192</v>
      </c>
    </row>
    <row r="2" spans="1:7">
      <c r="A2" s="153" t="str">
        <f>공시IS!A2</f>
        <v>제 33(당) 반기 2024년 1월 1일부터 2024년 06월 30일까지</v>
      </c>
      <c r="B2" s="153"/>
      <c r="C2" s="153"/>
      <c r="D2" s="153"/>
      <c r="E2" s="153"/>
    </row>
    <row r="3" spans="1:7">
      <c r="A3" s="153" t="str">
        <f>공시IS!A3</f>
        <v>제 32(전) 반기 2023년 1월 1일부터 2023년 06월 30일까지</v>
      </c>
      <c r="B3" s="153"/>
      <c r="C3" s="153"/>
      <c r="D3" s="153"/>
      <c r="E3" s="153"/>
    </row>
    <row r="4" spans="1:7">
      <c r="A4" s="391" t="str">
        <f>공시IS!A4</f>
        <v>[회사명]</v>
      </c>
      <c r="B4" s="391"/>
      <c r="C4" s="391"/>
      <c r="D4" s="210"/>
      <c r="E4" s="210"/>
    </row>
    <row r="5" spans="1:7" s="154" customFormat="1">
      <c r="G5" s="135" t="s">
        <v>155</v>
      </c>
    </row>
    <row r="6" spans="1:7" s="154" customFormat="1" ht="13.5">
      <c r="A6" s="155" t="s">
        <v>156</v>
      </c>
      <c r="B6" s="155" t="s">
        <v>193</v>
      </c>
      <c r="C6" s="155" t="s">
        <v>69</v>
      </c>
      <c r="D6" s="155" t="s">
        <v>590</v>
      </c>
      <c r="E6" s="155" t="s">
        <v>242</v>
      </c>
      <c r="F6" s="155" t="s">
        <v>591</v>
      </c>
      <c r="G6" s="155" t="s">
        <v>194</v>
      </c>
    </row>
    <row r="7" spans="1:7" s="154" customFormat="1" ht="13.5">
      <c r="A7" s="223" t="s">
        <v>589</v>
      </c>
      <c r="B7" s="380"/>
      <c r="C7" s="380"/>
      <c r="D7" s="380"/>
      <c r="E7" s="380"/>
      <c r="F7" s="380"/>
      <c r="G7" s="380"/>
    </row>
    <row r="8" spans="1:7" s="146" customFormat="1" ht="13.5">
      <c r="A8" s="139" t="s">
        <v>592</v>
      </c>
      <c r="B8" s="379"/>
      <c r="C8" s="379"/>
      <c r="D8" s="379"/>
      <c r="E8" s="379"/>
      <c r="F8" s="379"/>
      <c r="G8" s="140">
        <f>SUM(B8:F8)</f>
        <v>0</v>
      </c>
    </row>
    <row r="9" spans="1:7" s="146" customFormat="1" ht="13.5">
      <c r="A9" s="223" t="s">
        <v>593</v>
      </c>
      <c r="B9" s="222">
        <f>SUM(B7:B8)</f>
        <v>0</v>
      </c>
      <c r="C9" s="222">
        <f>SUM(C7:C8)</f>
        <v>0</v>
      </c>
      <c r="D9" s="222">
        <f>SUM(D7:D8)</f>
        <v>0</v>
      </c>
      <c r="E9" s="222">
        <f>SUM(E7:E8)</f>
        <v>0</v>
      </c>
      <c r="F9" s="222">
        <f t="shared" ref="F9:G9" si="0">SUM(F7:F8)</f>
        <v>0</v>
      </c>
      <c r="G9" s="222">
        <f t="shared" si="0"/>
        <v>0</v>
      </c>
    </row>
    <row r="10" spans="1:7" s="154" customFormat="1" ht="13.5">
      <c r="A10" s="139" t="s">
        <v>195</v>
      </c>
      <c r="B10" s="140"/>
      <c r="C10" s="140"/>
      <c r="D10" s="140"/>
      <c r="E10" s="140"/>
      <c r="F10" s="140">
        <f>공시IS!F19</f>
        <v>0</v>
      </c>
      <c r="G10" s="140">
        <f>SUM(B10:F10)</f>
        <v>0</v>
      </c>
    </row>
    <row r="11" spans="1:7" s="154" customFormat="1" ht="13.5">
      <c r="A11" s="139" t="s">
        <v>196</v>
      </c>
      <c r="B11" s="140"/>
      <c r="C11" s="140"/>
      <c r="D11" s="140"/>
      <c r="E11" s="140"/>
      <c r="F11" s="140"/>
      <c r="G11" s="140"/>
    </row>
    <row r="12" spans="1:7" s="154" customFormat="1" ht="13.5">
      <c r="A12" s="156" t="s">
        <v>256</v>
      </c>
      <c r="B12" s="140"/>
      <c r="C12" s="140"/>
      <c r="D12" s="140"/>
      <c r="E12" s="379"/>
      <c r="F12" s="140"/>
      <c r="G12" s="140">
        <f t="shared" ref="G12:G16" si="1">SUM(B12:F12)</f>
        <v>0</v>
      </c>
    </row>
    <row r="13" spans="1:7" s="154" customFormat="1" ht="13.5">
      <c r="A13" s="156" t="s">
        <v>594</v>
      </c>
      <c r="B13" s="140"/>
      <c r="C13" s="140"/>
      <c r="D13" s="140"/>
      <c r="E13" s="140"/>
      <c r="F13" s="379"/>
      <c r="G13" s="140">
        <f t="shared" si="1"/>
        <v>0</v>
      </c>
    </row>
    <row r="14" spans="1:7" s="154" customFormat="1" ht="13.5">
      <c r="A14" s="156" t="s">
        <v>595</v>
      </c>
      <c r="B14" s="140"/>
      <c r="C14" s="140"/>
      <c r="D14" s="140"/>
      <c r="E14" s="140"/>
      <c r="F14" s="140">
        <f>공시IS!E24</f>
        <v>0</v>
      </c>
      <c r="G14" s="140">
        <f t="shared" si="1"/>
        <v>0</v>
      </c>
    </row>
    <row r="15" spans="1:7" s="154" customFormat="1" ht="13.5">
      <c r="A15" s="156" t="s">
        <v>596</v>
      </c>
      <c r="B15" s="140">
        <f t="shared" ref="B15:D15" si="2">SUM(B10+B11)</f>
        <v>0</v>
      </c>
      <c r="C15" s="140">
        <f t="shared" si="2"/>
        <v>0</v>
      </c>
      <c r="D15" s="140">
        <f t="shared" si="2"/>
        <v>0</v>
      </c>
      <c r="E15" s="140">
        <f>E10+SUM(E12:E14)</f>
        <v>0</v>
      </c>
      <c r="F15" s="140">
        <f>F10+SUM(F12:F14)</f>
        <v>0</v>
      </c>
      <c r="G15" s="140">
        <f>G10+SUM(G12:G14)</f>
        <v>0</v>
      </c>
    </row>
    <row r="16" spans="1:7" s="154" customFormat="1" ht="13.5">
      <c r="A16" s="139" t="s">
        <v>198</v>
      </c>
      <c r="B16" s="140"/>
      <c r="C16" s="140"/>
      <c r="D16" s="140"/>
      <c r="E16" s="140"/>
      <c r="F16" s="140"/>
      <c r="G16" s="140">
        <f t="shared" si="1"/>
        <v>0</v>
      </c>
    </row>
    <row r="17" spans="1:7" s="154" customFormat="1" ht="13.5">
      <c r="A17" s="156" t="s">
        <v>257</v>
      </c>
      <c r="B17" s="140"/>
      <c r="C17" s="140"/>
      <c r="D17" s="140"/>
      <c r="E17" s="140"/>
      <c r="F17" s="379"/>
      <c r="G17" s="140">
        <f>SUM(B17:F17)</f>
        <v>0</v>
      </c>
    </row>
    <row r="18" spans="1:7" s="154" customFormat="1" ht="13.5">
      <c r="A18" s="156" t="s">
        <v>597</v>
      </c>
      <c r="B18" s="140"/>
      <c r="C18" s="379"/>
      <c r="D18" s="379"/>
      <c r="E18" s="140"/>
      <c r="F18" s="140"/>
      <c r="G18" s="140">
        <f>SUM(B18:F18)</f>
        <v>0</v>
      </c>
    </row>
    <row r="19" spans="1:7" s="154" customFormat="1" ht="13.5">
      <c r="A19" s="223" t="s">
        <v>598</v>
      </c>
      <c r="B19" s="222">
        <f>B9+B15+B17+B18</f>
        <v>0</v>
      </c>
      <c r="C19" s="222">
        <f t="shared" ref="C19:G19" si="3">C9+C15+C17+C18</f>
        <v>0</v>
      </c>
      <c r="D19" s="222">
        <f t="shared" si="3"/>
        <v>0</v>
      </c>
      <c r="E19" s="222">
        <f t="shared" si="3"/>
        <v>0</v>
      </c>
      <c r="F19" s="222">
        <f t="shared" si="3"/>
        <v>0</v>
      </c>
      <c r="G19" s="222">
        <f t="shared" si="3"/>
        <v>0</v>
      </c>
    </row>
    <row r="20" spans="1:7" s="154" customFormat="1" ht="13.5">
      <c r="A20" s="223" t="s">
        <v>599</v>
      </c>
      <c r="B20" s="380"/>
      <c r="C20" s="380"/>
      <c r="D20" s="380"/>
      <c r="E20" s="380"/>
      <c r="F20" s="380"/>
      <c r="G20" s="222">
        <f>SUM(B20:F20)</f>
        <v>0</v>
      </c>
    </row>
    <row r="21" spans="1:7" s="154" customFormat="1" ht="13.5">
      <c r="A21" s="139" t="s">
        <v>195</v>
      </c>
      <c r="B21" s="379"/>
      <c r="C21" s="379"/>
      <c r="D21" s="140"/>
      <c r="E21" s="140"/>
      <c r="F21" s="140">
        <f>공시IS!D19</f>
        <v>0</v>
      </c>
      <c r="G21" s="140">
        <f>SUM(B21:F21)</f>
        <v>0</v>
      </c>
    </row>
    <row r="22" spans="1:7" s="154" customFormat="1" ht="13.5">
      <c r="A22" s="139" t="s">
        <v>196</v>
      </c>
      <c r="B22" s="140"/>
      <c r="C22" s="140"/>
      <c r="D22" s="140"/>
      <c r="E22" s="140"/>
      <c r="F22" s="140"/>
      <c r="G22" s="140">
        <f t="shared" ref="G22:G29" si="4">SUM(B22:F22)</f>
        <v>0</v>
      </c>
    </row>
    <row r="23" spans="1:7" s="154" customFormat="1" ht="13.5">
      <c r="A23" s="139" t="s">
        <v>256</v>
      </c>
      <c r="B23" s="140"/>
      <c r="C23" s="140"/>
      <c r="D23" s="140"/>
      <c r="E23" s="140">
        <f>공시IS!C22</f>
        <v>0</v>
      </c>
      <c r="F23" s="140"/>
      <c r="G23" s="140">
        <f>SUM(B23:F23)</f>
        <v>0</v>
      </c>
    </row>
    <row r="24" spans="1:7" s="154" customFormat="1" ht="13.5">
      <c r="A24" s="139" t="s">
        <v>197</v>
      </c>
      <c r="B24" s="379"/>
      <c r="C24" s="379"/>
      <c r="D24" s="140"/>
      <c r="E24" s="140"/>
      <c r="F24" s="140">
        <f>공시IS!C24</f>
        <v>0</v>
      </c>
      <c r="G24" s="140">
        <f t="shared" si="4"/>
        <v>0</v>
      </c>
    </row>
    <row r="25" spans="1:7" s="154" customFormat="1" ht="13.5">
      <c r="A25" s="139" t="s">
        <v>600</v>
      </c>
      <c r="B25" s="140"/>
      <c r="C25" s="140"/>
      <c r="D25" s="140"/>
      <c r="E25" s="140"/>
      <c r="F25" s="140">
        <f>공시IS!C25</f>
        <v>0</v>
      </c>
      <c r="G25" s="140"/>
    </row>
    <row r="26" spans="1:7" s="154" customFormat="1" ht="13.5">
      <c r="A26" s="139" t="s">
        <v>596</v>
      </c>
      <c r="B26" s="140">
        <f>B21+SUM(B23:B25)</f>
        <v>0</v>
      </c>
      <c r="C26" s="140">
        <f t="shared" ref="C26:F26" si="5">C21+SUM(C23:C25)</f>
        <v>0</v>
      </c>
      <c r="D26" s="140">
        <f t="shared" si="5"/>
        <v>0</v>
      </c>
      <c r="E26" s="140">
        <f t="shared" si="5"/>
        <v>0</v>
      </c>
      <c r="F26" s="140">
        <f t="shared" si="5"/>
        <v>0</v>
      </c>
      <c r="G26" s="140">
        <f>SUM(B26:F26)</f>
        <v>0</v>
      </c>
    </row>
    <row r="27" spans="1:7" s="154" customFormat="1" ht="13.5">
      <c r="A27" s="139" t="s">
        <v>198</v>
      </c>
      <c r="B27" s="140"/>
      <c r="C27" s="140"/>
      <c r="D27" s="140"/>
      <c r="E27" s="140"/>
      <c r="F27" s="140"/>
      <c r="G27" s="140">
        <f t="shared" si="4"/>
        <v>0</v>
      </c>
    </row>
    <row r="28" spans="1:7" s="154" customFormat="1" ht="13.5">
      <c r="A28" s="156" t="s">
        <v>199</v>
      </c>
      <c r="B28" s="379"/>
      <c r="C28" s="379"/>
      <c r="D28" s="140"/>
      <c r="E28" s="140"/>
      <c r="F28" s="379"/>
      <c r="G28" s="140">
        <f t="shared" si="4"/>
        <v>0</v>
      </c>
    </row>
    <row r="29" spans="1:7" s="154" customFormat="1" ht="13.5">
      <c r="A29" s="156" t="s">
        <v>354</v>
      </c>
      <c r="B29" s="140"/>
      <c r="C29" s="379"/>
      <c r="D29" s="140"/>
      <c r="E29" s="140"/>
      <c r="F29" s="140"/>
      <c r="G29" s="140">
        <f t="shared" si="4"/>
        <v>0</v>
      </c>
    </row>
    <row r="30" spans="1:7" s="154" customFormat="1" ht="13.5">
      <c r="A30" s="223" t="s">
        <v>200</v>
      </c>
      <c r="B30" s="222">
        <f>B20+B26+B27</f>
        <v>0</v>
      </c>
      <c r="C30" s="222">
        <f t="shared" ref="C30:G30" si="6">C20+C26+C27</f>
        <v>0</v>
      </c>
      <c r="D30" s="222">
        <f t="shared" si="6"/>
        <v>0</v>
      </c>
      <c r="E30" s="222">
        <f t="shared" si="6"/>
        <v>0</v>
      </c>
      <c r="F30" s="222">
        <f t="shared" si="6"/>
        <v>0</v>
      </c>
      <c r="G30" s="222">
        <f t="shared" si="6"/>
        <v>0</v>
      </c>
    </row>
    <row r="31" spans="1:7" s="146" customFormat="1" ht="13.5">
      <c r="B31" s="146" t="b">
        <f>B30=공시BS!D39</f>
        <v>1</v>
      </c>
      <c r="C31" s="146" t="b">
        <f>C30=공시BS!D40</f>
        <v>1</v>
      </c>
      <c r="D31" s="146" t="b">
        <f>D30=공시BS!D41</f>
        <v>1</v>
      </c>
      <c r="E31" s="146" t="b">
        <f>E30=공시BS!D42</f>
        <v>1</v>
      </c>
      <c r="F31" s="146" t="b">
        <f>F30=공시BS!D43</f>
        <v>1</v>
      </c>
      <c r="G31" s="146" t="b">
        <f>G30=공시BS!D44</f>
        <v>1</v>
      </c>
    </row>
  </sheetData>
  <mergeCells count="1">
    <mergeCell ref="A4:C4"/>
  </mergeCells>
  <phoneticPr fontId="3" type="noConversion"/>
  <conditionalFormatting sqref="A1:XFD1048576">
    <cfRule type="containsText" dxfId="7" priority="1" operator="containsText" text="TRUE">
      <formula>NOT(ISERROR(SEARCH("TRUE",A1)))</formula>
    </cfRule>
  </conditionalFormatting>
  <pageMargins left="0.7" right="0.7" top="0.75" bottom="0.75" header="0.3" footer="0.3"/>
  <pageSetup paperSize="9" scale="64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237F-AE14-4307-9838-D33533EC62CB}">
  <sheetPr>
    <tabColor theme="6" tint="0.39997558519241921"/>
  </sheetPr>
  <dimension ref="B1:F64"/>
  <sheetViews>
    <sheetView zoomScale="85" zoomScaleNormal="85" workbookViewId="0">
      <selection activeCell="A23" sqref="A23"/>
    </sheetView>
  </sheetViews>
  <sheetFormatPr defaultColWidth="28.25" defaultRowHeight="13.5"/>
  <cols>
    <col min="1" max="1" width="2.5" style="159" customWidth="1"/>
    <col min="2" max="2" width="38.25" style="159" customWidth="1"/>
    <col min="3" max="3" width="14.625" style="159" bestFit="1" customWidth="1"/>
    <col min="4" max="4" width="16.25" style="159" customWidth="1"/>
    <col min="5" max="6" width="14.625" style="159" bestFit="1" customWidth="1"/>
    <col min="7" max="7" width="3.625" style="159" customWidth="1"/>
    <col min="8" max="16384" width="28.25" style="159"/>
  </cols>
  <sheetData>
    <row r="1" spans="2:6">
      <c r="B1" s="158" t="s">
        <v>201</v>
      </c>
      <c r="C1" s="158"/>
    </row>
    <row r="2" spans="2:6">
      <c r="B2" s="157"/>
      <c r="C2" s="157"/>
    </row>
    <row r="3" spans="2:6" ht="13.5" customHeight="1">
      <c r="B3" s="160" t="str">
        <f>공시CIE!A2</f>
        <v>제 33(당) 반기 2024년 1월 1일부터 2024년 06월 30일까지</v>
      </c>
      <c r="C3" s="160"/>
    </row>
    <row r="4" spans="2:6" ht="14.25" customHeight="1">
      <c r="B4" s="160" t="str">
        <f>공시CIE!A3</f>
        <v>제 32(전) 반기 2023년 1월 1일부터 2023년 06월 30일까지</v>
      </c>
      <c r="C4" s="160"/>
    </row>
    <row r="5" spans="2:6" ht="14.25" customHeight="1"/>
    <row r="6" spans="2:6">
      <c r="F6" s="161" t="s">
        <v>155</v>
      </c>
    </row>
    <row r="7" spans="2:6">
      <c r="B7" s="295" t="s">
        <v>202</v>
      </c>
      <c r="C7" s="392" t="s">
        <v>243</v>
      </c>
      <c r="D7" s="393"/>
      <c r="E7" s="392" t="s">
        <v>244</v>
      </c>
      <c r="F7" s="393"/>
    </row>
    <row r="8" spans="2:6">
      <c r="B8" s="162" t="s">
        <v>203</v>
      </c>
      <c r="C8" s="163"/>
      <c r="D8" s="163">
        <f>SUM(C9:C13)</f>
        <v>0</v>
      </c>
      <c r="E8" s="163"/>
      <c r="F8" s="163">
        <f>SUM(E9:E13)</f>
        <v>0</v>
      </c>
    </row>
    <row r="9" spans="2:6">
      <c r="B9" s="162" t="s">
        <v>601</v>
      </c>
      <c r="C9" s="381"/>
      <c r="D9" s="163"/>
      <c r="E9" s="381"/>
      <c r="F9" s="163"/>
    </row>
    <row r="10" spans="2:6">
      <c r="B10" s="162" t="s">
        <v>602</v>
      </c>
      <c r="C10" s="381"/>
      <c r="D10" s="163"/>
      <c r="E10" s="381"/>
      <c r="F10" s="163"/>
    </row>
    <row r="11" spans="2:6">
      <c r="B11" s="162" t="s">
        <v>603</v>
      </c>
      <c r="C11" s="381"/>
      <c r="D11" s="163"/>
      <c r="E11" s="381"/>
      <c r="F11" s="163"/>
    </row>
    <row r="12" spans="2:6">
      <c r="B12" s="162" t="s">
        <v>604</v>
      </c>
      <c r="C12" s="381"/>
      <c r="D12" s="163"/>
      <c r="E12" s="381"/>
      <c r="F12" s="163"/>
    </row>
    <row r="13" spans="2:6">
      <c r="B13" s="162" t="s">
        <v>605</v>
      </c>
      <c r="C13" s="381"/>
      <c r="D13" s="163"/>
      <c r="E13" s="381"/>
      <c r="F13" s="163"/>
    </row>
    <row r="14" spans="2:6">
      <c r="B14" s="162" t="s">
        <v>204</v>
      </c>
      <c r="C14" s="163"/>
      <c r="D14" s="163">
        <f>C15+C28</f>
        <v>0</v>
      </c>
      <c r="E14" s="163"/>
      <c r="F14" s="163">
        <f>E15+E28</f>
        <v>0</v>
      </c>
    </row>
    <row r="15" spans="2:6">
      <c r="B15" s="162" t="s">
        <v>618</v>
      </c>
      <c r="C15" s="163">
        <f>SUM(C16:C27)</f>
        <v>0</v>
      </c>
      <c r="D15" s="163"/>
      <c r="E15" s="163">
        <f>SUM(E16:E27)</f>
        <v>0</v>
      </c>
      <c r="F15" s="163"/>
    </row>
    <row r="16" spans="2:6">
      <c r="B16" s="162" t="s">
        <v>606</v>
      </c>
      <c r="C16" s="381"/>
      <c r="D16" s="163"/>
      <c r="E16" s="381"/>
      <c r="F16" s="163"/>
    </row>
    <row r="17" spans="2:6">
      <c r="B17" s="162" t="s">
        <v>607</v>
      </c>
      <c r="C17" s="381"/>
      <c r="D17" s="163"/>
      <c r="E17" s="381"/>
      <c r="F17" s="163"/>
    </row>
    <row r="18" spans="2:6">
      <c r="B18" s="162" t="s">
        <v>608</v>
      </c>
      <c r="C18" s="381"/>
      <c r="D18" s="163"/>
      <c r="E18" s="381"/>
      <c r="F18" s="163"/>
    </row>
    <row r="19" spans="2:6">
      <c r="B19" s="296" t="s">
        <v>609</v>
      </c>
      <c r="C19" s="163"/>
      <c r="D19" s="163"/>
      <c r="E19" s="381"/>
      <c r="F19" s="163"/>
    </row>
    <row r="20" spans="2:6">
      <c r="B20" s="297" t="s">
        <v>610</v>
      </c>
      <c r="C20" s="381"/>
      <c r="D20" s="163"/>
      <c r="E20" s="163"/>
      <c r="F20" s="163"/>
    </row>
    <row r="21" spans="2:6">
      <c r="B21" s="297" t="s">
        <v>611</v>
      </c>
      <c r="C21" s="381"/>
      <c r="D21" s="163"/>
      <c r="E21" s="381"/>
      <c r="F21" s="163"/>
    </row>
    <row r="22" spans="2:6">
      <c r="B22" s="162" t="s">
        <v>612</v>
      </c>
      <c r="C22" s="163"/>
      <c r="D22" s="163"/>
      <c r="E22" s="163"/>
      <c r="F22" s="163"/>
    </row>
    <row r="23" spans="2:6">
      <c r="B23" s="162" t="s">
        <v>613</v>
      </c>
      <c r="C23" s="163"/>
      <c r="D23" s="163"/>
      <c r="E23" s="163"/>
      <c r="F23" s="163"/>
    </row>
    <row r="24" spans="2:6">
      <c r="B24" s="162" t="s">
        <v>614</v>
      </c>
      <c r="C24" s="163"/>
      <c r="D24" s="163"/>
      <c r="E24" s="163"/>
      <c r="F24" s="163"/>
    </row>
    <row r="25" spans="2:6">
      <c r="B25" s="162" t="s">
        <v>615</v>
      </c>
      <c r="C25" s="381"/>
      <c r="D25" s="163"/>
      <c r="E25" s="163"/>
      <c r="F25" s="163"/>
    </row>
    <row r="26" spans="2:6">
      <c r="B26" s="162" t="s">
        <v>616</v>
      </c>
      <c r="C26" s="163"/>
      <c r="D26" s="163"/>
      <c r="E26" s="163"/>
      <c r="F26" s="163"/>
    </row>
    <row r="27" spans="2:6">
      <c r="B27" s="162" t="s">
        <v>617</v>
      </c>
      <c r="C27" s="163"/>
      <c r="D27" s="163"/>
      <c r="E27" s="163"/>
      <c r="F27" s="163"/>
    </row>
    <row r="28" spans="2:6">
      <c r="B28" s="162" t="s">
        <v>619</v>
      </c>
      <c r="C28" s="163">
        <f>-SUM(C29:C41)</f>
        <v>0</v>
      </c>
      <c r="D28" s="163"/>
      <c r="E28" s="163">
        <f>-SUM(E29:E41)</f>
        <v>0</v>
      </c>
      <c r="F28" s="163"/>
    </row>
    <row r="29" spans="2:6">
      <c r="B29" s="162" t="s">
        <v>620</v>
      </c>
      <c r="C29" s="381"/>
      <c r="D29" s="163"/>
      <c r="E29" s="381"/>
      <c r="F29" s="163"/>
    </row>
    <row r="30" spans="2:6">
      <c r="B30" s="162" t="s">
        <v>621</v>
      </c>
      <c r="C30" s="381"/>
      <c r="D30" s="163"/>
      <c r="E30" s="163"/>
      <c r="F30" s="163"/>
    </row>
    <row r="31" spans="2:6">
      <c r="B31" s="162" t="s">
        <v>622</v>
      </c>
      <c r="C31" s="381"/>
      <c r="D31" s="163"/>
      <c r="E31" s="381"/>
      <c r="F31" s="163"/>
    </row>
    <row r="32" spans="2:6">
      <c r="B32" s="162" t="s">
        <v>623</v>
      </c>
      <c r="C32" s="163"/>
      <c r="D32" s="163"/>
      <c r="E32" s="163"/>
      <c r="F32" s="163"/>
    </row>
    <row r="33" spans="2:6">
      <c r="B33" s="162" t="s">
        <v>624</v>
      </c>
      <c r="C33" s="163"/>
      <c r="D33" s="163"/>
      <c r="E33" s="381"/>
      <c r="F33" s="163"/>
    </row>
    <row r="34" spans="2:6">
      <c r="B34" s="162" t="s">
        <v>625</v>
      </c>
      <c r="C34" s="163"/>
      <c r="D34" s="163"/>
      <c r="E34" s="163"/>
      <c r="F34" s="163"/>
    </row>
    <row r="35" spans="2:6">
      <c r="B35" s="162" t="s">
        <v>626</v>
      </c>
      <c r="C35" s="381"/>
      <c r="D35" s="163"/>
      <c r="E35" s="163"/>
      <c r="F35" s="163"/>
    </row>
    <row r="36" spans="2:6">
      <c r="B36" s="162" t="s">
        <v>627</v>
      </c>
      <c r="C36" s="381"/>
      <c r="D36" s="163"/>
      <c r="E36" s="381"/>
      <c r="F36" s="163"/>
    </row>
    <row r="37" spans="2:6">
      <c r="B37" s="162" t="s">
        <v>628</v>
      </c>
      <c r="C37" s="381"/>
      <c r="D37" s="163"/>
      <c r="E37" s="163"/>
      <c r="F37" s="163"/>
    </row>
    <row r="38" spans="2:6">
      <c r="B38" s="162" t="s">
        <v>629</v>
      </c>
      <c r="C38" s="163"/>
      <c r="D38" s="163"/>
      <c r="E38" s="163"/>
      <c r="F38" s="163"/>
    </row>
    <row r="39" spans="2:6">
      <c r="B39" s="162" t="s">
        <v>630</v>
      </c>
      <c r="C39" s="381"/>
      <c r="D39" s="163"/>
      <c r="E39" s="163"/>
      <c r="F39" s="163"/>
    </row>
    <row r="40" spans="2:6">
      <c r="B40" s="162" t="s">
        <v>631</v>
      </c>
      <c r="C40" s="163"/>
      <c r="D40" s="163"/>
      <c r="E40" s="163"/>
      <c r="F40" s="163"/>
    </row>
    <row r="41" spans="2:6">
      <c r="B41" s="162" t="s">
        <v>632</v>
      </c>
      <c r="C41" s="163"/>
      <c r="D41" s="163"/>
      <c r="E41" s="381"/>
      <c r="F41" s="163"/>
    </row>
    <row r="42" spans="2:6">
      <c r="B42" s="162" t="s">
        <v>205</v>
      </c>
      <c r="C42" s="163"/>
      <c r="D42" s="163">
        <f>C43+C50</f>
        <v>0</v>
      </c>
      <c r="E42" s="163"/>
      <c r="F42" s="163">
        <f>E43+E50</f>
        <v>0</v>
      </c>
    </row>
    <row r="43" spans="2:6">
      <c r="B43" s="162" t="s">
        <v>633</v>
      </c>
      <c r="C43" s="163">
        <f>SUM(C44:C49)</f>
        <v>0</v>
      </c>
      <c r="D43" s="163"/>
      <c r="E43" s="163">
        <f>SUM(E44:E49)</f>
        <v>0</v>
      </c>
      <c r="F43" s="163"/>
    </row>
    <row r="44" spans="2:6">
      <c r="B44" s="162" t="s">
        <v>634</v>
      </c>
      <c r="C44" s="381"/>
      <c r="D44" s="163"/>
      <c r="E44" s="381"/>
      <c r="F44" s="163"/>
    </row>
    <row r="45" spans="2:6">
      <c r="B45" s="162" t="s">
        <v>635</v>
      </c>
      <c r="C45" s="381"/>
      <c r="D45" s="163"/>
      <c r="E45" s="381"/>
      <c r="F45" s="163"/>
    </row>
    <row r="46" spans="2:6">
      <c r="B46" s="162" t="s">
        <v>636</v>
      </c>
      <c r="C46" s="163"/>
      <c r="D46" s="163"/>
      <c r="E46" s="163"/>
      <c r="F46" s="163"/>
    </row>
    <row r="47" spans="2:6">
      <c r="B47" s="162" t="s">
        <v>637</v>
      </c>
      <c r="C47" s="163"/>
      <c r="D47" s="163"/>
      <c r="E47" s="163"/>
      <c r="F47" s="163"/>
    </row>
    <row r="48" spans="2:6">
      <c r="B48" s="162" t="s">
        <v>638</v>
      </c>
      <c r="C48" s="163"/>
      <c r="D48" s="163"/>
      <c r="E48" s="163"/>
      <c r="F48" s="163"/>
    </row>
    <row r="49" spans="2:6">
      <c r="B49" s="162" t="s">
        <v>639</v>
      </c>
      <c r="C49" s="163"/>
      <c r="D49" s="163"/>
      <c r="E49" s="163"/>
      <c r="F49" s="163"/>
    </row>
    <row r="50" spans="2:6">
      <c r="B50" s="162" t="s">
        <v>640</v>
      </c>
      <c r="C50" s="163">
        <f>-SUM(C51:C59)</f>
        <v>0</v>
      </c>
      <c r="D50" s="163"/>
      <c r="E50" s="163">
        <f>-SUM(E51:E59)</f>
        <v>0</v>
      </c>
      <c r="F50" s="163"/>
    </row>
    <row r="51" spans="2:6">
      <c r="B51" s="162" t="s">
        <v>641</v>
      </c>
      <c r="C51" s="381"/>
      <c r="D51" s="163"/>
      <c r="E51" s="381"/>
      <c r="F51" s="163"/>
    </row>
    <row r="52" spans="2:6">
      <c r="B52" s="162" t="s">
        <v>642</v>
      </c>
      <c r="C52" s="381"/>
      <c r="D52" s="163"/>
      <c r="E52" s="381"/>
      <c r="F52" s="163"/>
    </row>
    <row r="53" spans="2:6">
      <c r="B53" s="162" t="s">
        <v>643</v>
      </c>
      <c r="C53" s="163"/>
      <c r="D53" s="163"/>
      <c r="E53" s="163"/>
      <c r="F53" s="163"/>
    </row>
    <row r="54" spans="2:6">
      <c r="B54" s="162" t="s">
        <v>644</v>
      </c>
      <c r="C54" s="381"/>
      <c r="D54" s="163"/>
      <c r="E54" s="163"/>
      <c r="F54" s="163"/>
    </row>
    <row r="55" spans="2:6">
      <c r="B55" s="162" t="s">
        <v>645</v>
      </c>
      <c r="C55" s="163"/>
      <c r="D55" s="163"/>
      <c r="E55" s="163"/>
      <c r="F55" s="163"/>
    </row>
    <row r="56" spans="2:6">
      <c r="B56" s="162" t="s">
        <v>646</v>
      </c>
      <c r="C56" s="163"/>
      <c r="D56" s="163"/>
      <c r="E56" s="163"/>
      <c r="F56" s="163"/>
    </row>
    <row r="57" spans="2:6">
      <c r="B57" s="162" t="s">
        <v>647</v>
      </c>
      <c r="C57" s="163"/>
      <c r="D57" s="163"/>
      <c r="E57" s="163"/>
      <c r="F57" s="163"/>
    </row>
    <row r="58" spans="2:6">
      <c r="B58" s="162" t="s">
        <v>648</v>
      </c>
      <c r="C58" s="381"/>
      <c r="D58" s="163"/>
      <c r="E58" s="381"/>
      <c r="F58" s="163"/>
    </row>
    <row r="59" spans="2:6">
      <c r="B59" s="162" t="s">
        <v>649</v>
      </c>
      <c r="C59" s="163"/>
      <c r="D59" s="163"/>
      <c r="E59" s="381"/>
      <c r="F59" s="163"/>
    </row>
    <row r="60" spans="2:6">
      <c r="B60" s="162" t="s">
        <v>206</v>
      </c>
      <c r="C60" s="163"/>
      <c r="D60" s="381"/>
      <c r="E60" s="163"/>
      <c r="F60" s="381"/>
    </row>
    <row r="61" spans="2:6">
      <c r="B61" s="162" t="s">
        <v>650</v>
      </c>
      <c r="C61" s="163"/>
      <c r="D61" s="163">
        <f>D8+D14+D42+D60</f>
        <v>0</v>
      </c>
      <c r="E61" s="163"/>
      <c r="F61" s="163">
        <f>F8+F14+F42+F60</f>
        <v>0</v>
      </c>
    </row>
    <row r="62" spans="2:6">
      <c r="B62" s="162" t="s">
        <v>651</v>
      </c>
      <c r="C62" s="163"/>
      <c r="D62" s="163">
        <f>공시BS!E9</f>
        <v>0</v>
      </c>
      <c r="E62" s="163"/>
      <c r="F62" s="381"/>
    </row>
    <row r="63" spans="2:6">
      <c r="B63" s="162" t="s">
        <v>652</v>
      </c>
      <c r="C63" s="163"/>
      <c r="D63" s="163">
        <f>SUM(D61:D62)</f>
        <v>0</v>
      </c>
      <c r="E63" s="163"/>
      <c r="F63" s="163">
        <f>SUM(F61:F62)</f>
        <v>0</v>
      </c>
    </row>
    <row r="64" spans="2:6">
      <c r="D64" s="224" t="b">
        <f>ROUND(D63,0)=공시BS!C9</f>
        <v>1</v>
      </c>
      <c r="E64" s="164"/>
    </row>
  </sheetData>
  <mergeCells count="2">
    <mergeCell ref="C7:D7"/>
    <mergeCell ref="E7:F7"/>
  </mergeCells>
  <phoneticPr fontId="3" type="noConversion"/>
  <conditionalFormatting sqref="A1:XFD1048576">
    <cfRule type="containsText" dxfId="6" priority="1" operator="containsText" text="TRUE">
      <formula>NOT(ISERROR(SEARCH("TRUE",A1)))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A5A2-EE78-42E7-BD1C-BC12182051A9}">
  <sheetPr>
    <tabColor theme="6" tint="0.39997558519241921"/>
    <pageSetUpPr fitToPage="1"/>
  </sheetPr>
  <dimension ref="B1:O67"/>
  <sheetViews>
    <sheetView zoomScale="85" zoomScaleNormal="85" workbookViewId="0">
      <pane xSplit="6" ySplit="6" topLeftCell="G56" activePane="bottomRight" state="frozen"/>
      <selection pane="topRight" activeCell="G1" sqref="G1"/>
      <selection pane="bottomLeft" activeCell="A7" sqref="A7"/>
      <selection pane="bottomRight" activeCell="H37" activeCellId="1" sqref="I59 H37"/>
    </sheetView>
  </sheetViews>
  <sheetFormatPr defaultColWidth="7" defaultRowHeight="13.5"/>
  <cols>
    <col min="1" max="1" width="1.125" style="188" customWidth="1"/>
    <col min="2" max="2" width="4" style="188" customWidth="1"/>
    <col min="3" max="3" width="12.375" style="188" customWidth="1"/>
    <col min="4" max="4" width="4" style="188" customWidth="1"/>
    <col min="5" max="5" width="12.75" style="188" customWidth="1"/>
    <col min="6" max="6" width="12.75" style="188" bestFit="1" customWidth="1"/>
    <col min="7" max="7" width="15.75" style="188" bestFit="1" customWidth="1"/>
    <col min="8" max="8" width="15.25" style="188" bestFit="1" customWidth="1"/>
    <col min="9" max="10" width="15.75" style="188" bestFit="1" customWidth="1"/>
    <col min="11" max="11" width="14.75" style="188" customWidth="1"/>
    <col min="12" max="13" width="12.625" style="188" bestFit="1" customWidth="1"/>
    <col min="14" max="14" width="1" style="188" customWidth="1"/>
    <col min="15" max="15" width="6.25" style="188" bestFit="1" customWidth="1"/>
    <col min="16" max="16" width="20.125" style="188" bestFit="1" customWidth="1"/>
    <col min="17" max="17" width="16.5" style="188" customWidth="1"/>
    <col min="18" max="18" width="13.5" style="188" bestFit="1" customWidth="1"/>
    <col min="19" max="19" width="14.75" style="188" bestFit="1" customWidth="1"/>
    <col min="20" max="21" width="15.625" style="188" bestFit="1" customWidth="1"/>
    <col min="22" max="22" width="11.5" style="188" bestFit="1" customWidth="1"/>
    <col min="23" max="26" width="15.125" style="188" bestFit="1" customWidth="1"/>
    <col min="27" max="253" width="7" style="188"/>
    <col min="254" max="254" width="9.625" style="188" customWidth="1"/>
    <col min="255" max="255" width="4" style="188" customWidth="1"/>
    <col min="256" max="256" width="11.25" style="188" customWidth="1"/>
    <col min="257" max="257" width="4" style="188" customWidth="1"/>
    <col min="258" max="258" width="11.625" style="188" customWidth="1"/>
    <col min="259" max="259" width="4" style="188" customWidth="1"/>
    <col min="260" max="263" width="17.25" style="188" customWidth="1"/>
    <col min="264" max="264" width="6.75" style="188" customWidth="1"/>
    <col min="265" max="265" width="8.75" style="188" customWidth="1"/>
    <col min="266" max="266" width="7" style="188" customWidth="1"/>
    <col min="267" max="267" width="12.125" style="188" customWidth="1"/>
    <col min="268" max="509" width="7" style="188"/>
    <col min="510" max="510" width="9.625" style="188" customWidth="1"/>
    <col min="511" max="511" width="4" style="188" customWidth="1"/>
    <col min="512" max="512" width="11.25" style="188" customWidth="1"/>
    <col min="513" max="513" width="4" style="188" customWidth="1"/>
    <col min="514" max="514" width="11.625" style="188" customWidth="1"/>
    <col min="515" max="515" width="4" style="188" customWidth="1"/>
    <col min="516" max="519" width="17.25" style="188" customWidth="1"/>
    <col min="520" max="520" width="6.75" style="188" customWidth="1"/>
    <col min="521" max="521" width="8.75" style="188" customWidth="1"/>
    <col min="522" max="522" width="7" style="188" customWidth="1"/>
    <col min="523" max="523" width="12.125" style="188" customWidth="1"/>
    <col min="524" max="765" width="7" style="188"/>
    <col min="766" max="766" width="9.625" style="188" customWidth="1"/>
    <col min="767" max="767" width="4" style="188" customWidth="1"/>
    <col min="768" max="768" width="11.25" style="188" customWidth="1"/>
    <col min="769" max="769" width="4" style="188" customWidth="1"/>
    <col min="770" max="770" width="11.625" style="188" customWidth="1"/>
    <col min="771" max="771" width="4" style="188" customWidth="1"/>
    <col min="772" max="775" width="17.25" style="188" customWidth="1"/>
    <col min="776" max="776" width="6.75" style="188" customWidth="1"/>
    <col min="777" max="777" width="8.75" style="188" customWidth="1"/>
    <col min="778" max="778" width="7" style="188" customWidth="1"/>
    <col min="779" max="779" width="12.125" style="188" customWidth="1"/>
    <col min="780" max="1021" width="7" style="188"/>
    <col min="1022" max="1022" width="9.625" style="188" customWidth="1"/>
    <col min="1023" max="1023" width="4" style="188" customWidth="1"/>
    <col min="1024" max="1024" width="11.25" style="188" customWidth="1"/>
    <col min="1025" max="1025" width="4" style="188" customWidth="1"/>
    <col min="1026" max="1026" width="11.625" style="188" customWidth="1"/>
    <col min="1027" max="1027" width="4" style="188" customWidth="1"/>
    <col min="1028" max="1031" width="17.25" style="188" customWidth="1"/>
    <col min="1032" max="1032" width="6.75" style="188" customWidth="1"/>
    <col min="1033" max="1033" width="8.75" style="188" customWidth="1"/>
    <col min="1034" max="1034" width="7" style="188" customWidth="1"/>
    <col min="1035" max="1035" width="12.125" style="188" customWidth="1"/>
    <col min="1036" max="1277" width="7" style="188"/>
    <col min="1278" max="1278" width="9.625" style="188" customWidth="1"/>
    <col min="1279" max="1279" width="4" style="188" customWidth="1"/>
    <col min="1280" max="1280" width="11.25" style="188" customWidth="1"/>
    <col min="1281" max="1281" width="4" style="188" customWidth="1"/>
    <col min="1282" max="1282" width="11.625" style="188" customWidth="1"/>
    <col min="1283" max="1283" width="4" style="188" customWidth="1"/>
    <col min="1284" max="1287" width="17.25" style="188" customWidth="1"/>
    <col min="1288" max="1288" width="6.75" style="188" customWidth="1"/>
    <col min="1289" max="1289" width="8.75" style="188" customWidth="1"/>
    <col min="1290" max="1290" width="7" style="188" customWidth="1"/>
    <col min="1291" max="1291" width="12.125" style="188" customWidth="1"/>
    <col min="1292" max="1533" width="7" style="188"/>
    <col min="1534" max="1534" width="9.625" style="188" customWidth="1"/>
    <col min="1535" max="1535" width="4" style="188" customWidth="1"/>
    <col min="1536" max="1536" width="11.25" style="188" customWidth="1"/>
    <col min="1537" max="1537" width="4" style="188" customWidth="1"/>
    <col min="1538" max="1538" width="11.625" style="188" customWidth="1"/>
    <col min="1539" max="1539" width="4" style="188" customWidth="1"/>
    <col min="1540" max="1543" width="17.25" style="188" customWidth="1"/>
    <col min="1544" max="1544" width="6.75" style="188" customWidth="1"/>
    <col min="1545" max="1545" width="8.75" style="188" customWidth="1"/>
    <col min="1546" max="1546" width="7" style="188" customWidth="1"/>
    <col min="1547" max="1547" width="12.125" style="188" customWidth="1"/>
    <col min="1548" max="1789" width="7" style="188"/>
    <col min="1790" max="1790" width="9.625" style="188" customWidth="1"/>
    <col min="1791" max="1791" width="4" style="188" customWidth="1"/>
    <col min="1792" max="1792" width="11.25" style="188" customWidth="1"/>
    <col min="1793" max="1793" width="4" style="188" customWidth="1"/>
    <col min="1794" max="1794" width="11.625" style="188" customWidth="1"/>
    <col min="1795" max="1795" width="4" style="188" customWidth="1"/>
    <col min="1796" max="1799" width="17.25" style="188" customWidth="1"/>
    <col min="1800" max="1800" width="6.75" style="188" customWidth="1"/>
    <col min="1801" max="1801" width="8.75" style="188" customWidth="1"/>
    <col min="1802" max="1802" width="7" style="188" customWidth="1"/>
    <col min="1803" max="1803" width="12.125" style="188" customWidth="1"/>
    <col min="1804" max="2045" width="7" style="188"/>
    <col min="2046" max="2046" width="9.625" style="188" customWidth="1"/>
    <col min="2047" max="2047" width="4" style="188" customWidth="1"/>
    <col min="2048" max="2048" width="11.25" style="188" customWidth="1"/>
    <col min="2049" max="2049" width="4" style="188" customWidth="1"/>
    <col min="2050" max="2050" width="11.625" style="188" customWidth="1"/>
    <col min="2051" max="2051" width="4" style="188" customWidth="1"/>
    <col min="2052" max="2055" width="17.25" style="188" customWidth="1"/>
    <col min="2056" max="2056" width="6.75" style="188" customWidth="1"/>
    <col min="2057" max="2057" width="8.75" style="188" customWidth="1"/>
    <col min="2058" max="2058" width="7" style="188" customWidth="1"/>
    <col min="2059" max="2059" width="12.125" style="188" customWidth="1"/>
    <col min="2060" max="2301" width="7" style="188"/>
    <col min="2302" max="2302" width="9.625" style="188" customWidth="1"/>
    <col min="2303" max="2303" width="4" style="188" customWidth="1"/>
    <col min="2304" max="2304" width="11.25" style="188" customWidth="1"/>
    <col min="2305" max="2305" width="4" style="188" customWidth="1"/>
    <col min="2306" max="2306" width="11.625" style="188" customWidth="1"/>
    <col min="2307" max="2307" width="4" style="188" customWidth="1"/>
    <col min="2308" max="2311" width="17.25" style="188" customWidth="1"/>
    <col min="2312" max="2312" width="6.75" style="188" customWidth="1"/>
    <col min="2313" max="2313" width="8.75" style="188" customWidth="1"/>
    <col min="2314" max="2314" width="7" style="188" customWidth="1"/>
    <col min="2315" max="2315" width="12.125" style="188" customWidth="1"/>
    <col min="2316" max="2557" width="7" style="188"/>
    <col min="2558" max="2558" width="9.625" style="188" customWidth="1"/>
    <col min="2559" max="2559" width="4" style="188" customWidth="1"/>
    <col min="2560" max="2560" width="11.25" style="188" customWidth="1"/>
    <col min="2561" max="2561" width="4" style="188" customWidth="1"/>
    <col min="2562" max="2562" width="11.625" style="188" customWidth="1"/>
    <col min="2563" max="2563" width="4" style="188" customWidth="1"/>
    <col min="2564" max="2567" width="17.25" style="188" customWidth="1"/>
    <col min="2568" max="2568" width="6.75" style="188" customWidth="1"/>
    <col min="2569" max="2569" width="8.75" style="188" customWidth="1"/>
    <col min="2570" max="2570" width="7" style="188" customWidth="1"/>
    <col min="2571" max="2571" width="12.125" style="188" customWidth="1"/>
    <col min="2572" max="2813" width="7" style="188"/>
    <col min="2814" max="2814" width="9.625" style="188" customWidth="1"/>
    <col min="2815" max="2815" width="4" style="188" customWidth="1"/>
    <col min="2816" max="2816" width="11.25" style="188" customWidth="1"/>
    <col min="2817" max="2817" width="4" style="188" customWidth="1"/>
    <col min="2818" max="2818" width="11.625" style="188" customWidth="1"/>
    <col min="2819" max="2819" width="4" style="188" customWidth="1"/>
    <col min="2820" max="2823" width="17.25" style="188" customWidth="1"/>
    <col min="2824" max="2824" width="6.75" style="188" customWidth="1"/>
    <col min="2825" max="2825" width="8.75" style="188" customWidth="1"/>
    <col min="2826" max="2826" width="7" style="188" customWidth="1"/>
    <col min="2827" max="2827" width="12.125" style="188" customWidth="1"/>
    <col min="2828" max="3069" width="7" style="188"/>
    <col min="3070" max="3070" width="9.625" style="188" customWidth="1"/>
    <col min="3071" max="3071" width="4" style="188" customWidth="1"/>
    <col min="3072" max="3072" width="11.25" style="188" customWidth="1"/>
    <col min="3073" max="3073" width="4" style="188" customWidth="1"/>
    <col min="3074" max="3074" width="11.625" style="188" customWidth="1"/>
    <col min="3075" max="3075" width="4" style="188" customWidth="1"/>
    <col min="3076" max="3079" width="17.25" style="188" customWidth="1"/>
    <col min="3080" max="3080" width="6.75" style="188" customWidth="1"/>
    <col min="3081" max="3081" width="8.75" style="188" customWidth="1"/>
    <col min="3082" max="3082" width="7" style="188" customWidth="1"/>
    <col min="3083" max="3083" width="12.125" style="188" customWidth="1"/>
    <col min="3084" max="3325" width="7" style="188"/>
    <col min="3326" max="3326" width="9.625" style="188" customWidth="1"/>
    <col min="3327" max="3327" width="4" style="188" customWidth="1"/>
    <col min="3328" max="3328" width="11.25" style="188" customWidth="1"/>
    <col min="3329" max="3329" width="4" style="188" customWidth="1"/>
    <col min="3330" max="3330" width="11.625" style="188" customWidth="1"/>
    <col min="3331" max="3331" width="4" style="188" customWidth="1"/>
    <col min="3332" max="3335" width="17.25" style="188" customWidth="1"/>
    <col min="3336" max="3336" width="6.75" style="188" customWidth="1"/>
    <col min="3337" max="3337" width="8.75" style="188" customWidth="1"/>
    <col min="3338" max="3338" width="7" style="188" customWidth="1"/>
    <col min="3339" max="3339" width="12.125" style="188" customWidth="1"/>
    <col min="3340" max="3581" width="7" style="188"/>
    <col min="3582" max="3582" width="9.625" style="188" customWidth="1"/>
    <col min="3583" max="3583" width="4" style="188" customWidth="1"/>
    <col min="3584" max="3584" width="11.25" style="188" customWidth="1"/>
    <col min="3585" max="3585" width="4" style="188" customWidth="1"/>
    <col min="3586" max="3586" width="11.625" style="188" customWidth="1"/>
    <col min="3587" max="3587" width="4" style="188" customWidth="1"/>
    <col min="3588" max="3591" width="17.25" style="188" customWidth="1"/>
    <col min="3592" max="3592" width="6.75" style="188" customWidth="1"/>
    <col min="3593" max="3593" width="8.75" style="188" customWidth="1"/>
    <col min="3594" max="3594" width="7" style="188" customWidth="1"/>
    <col min="3595" max="3595" width="12.125" style="188" customWidth="1"/>
    <col min="3596" max="3837" width="7" style="188"/>
    <col min="3838" max="3838" width="9.625" style="188" customWidth="1"/>
    <col min="3839" max="3839" width="4" style="188" customWidth="1"/>
    <col min="3840" max="3840" width="11.25" style="188" customWidth="1"/>
    <col min="3841" max="3841" width="4" style="188" customWidth="1"/>
    <col min="3842" max="3842" width="11.625" style="188" customWidth="1"/>
    <col min="3843" max="3843" width="4" style="188" customWidth="1"/>
    <col min="3844" max="3847" width="17.25" style="188" customWidth="1"/>
    <col min="3848" max="3848" width="6.75" style="188" customWidth="1"/>
    <col min="3849" max="3849" width="8.75" style="188" customWidth="1"/>
    <col min="3850" max="3850" width="7" style="188" customWidth="1"/>
    <col min="3851" max="3851" width="12.125" style="188" customWidth="1"/>
    <col min="3852" max="4093" width="7" style="188"/>
    <col min="4094" max="4094" width="9.625" style="188" customWidth="1"/>
    <col min="4095" max="4095" width="4" style="188" customWidth="1"/>
    <col min="4096" max="4096" width="11.25" style="188" customWidth="1"/>
    <col min="4097" max="4097" width="4" style="188" customWidth="1"/>
    <col min="4098" max="4098" width="11.625" style="188" customWidth="1"/>
    <col min="4099" max="4099" width="4" style="188" customWidth="1"/>
    <col min="4100" max="4103" width="17.25" style="188" customWidth="1"/>
    <col min="4104" max="4104" width="6.75" style="188" customWidth="1"/>
    <col min="4105" max="4105" width="8.75" style="188" customWidth="1"/>
    <col min="4106" max="4106" width="7" style="188" customWidth="1"/>
    <col min="4107" max="4107" width="12.125" style="188" customWidth="1"/>
    <col min="4108" max="4349" width="7" style="188"/>
    <col min="4350" max="4350" width="9.625" style="188" customWidth="1"/>
    <col min="4351" max="4351" width="4" style="188" customWidth="1"/>
    <col min="4352" max="4352" width="11.25" style="188" customWidth="1"/>
    <col min="4353" max="4353" width="4" style="188" customWidth="1"/>
    <col min="4354" max="4354" width="11.625" style="188" customWidth="1"/>
    <col min="4355" max="4355" width="4" style="188" customWidth="1"/>
    <col min="4356" max="4359" width="17.25" style="188" customWidth="1"/>
    <col min="4360" max="4360" width="6.75" style="188" customWidth="1"/>
    <col min="4361" max="4361" width="8.75" style="188" customWidth="1"/>
    <col min="4362" max="4362" width="7" style="188" customWidth="1"/>
    <col min="4363" max="4363" width="12.125" style="188" customWidth="1"/>
    <col min="4364" max="4605" width="7" style="188"/>
    <col min="4606" max="4606" width="9.625" style="188" customWidth="1"/>
    <col min="4607" max="4607" width="4" style="188" customWidth="1"/>
    <col min="4608" max="4608" width="11.25" style="188" customWidth="1"/>
    <col min="4609" max="4609" width="4" style="188" customWidth="1"/>
    <col min="4610" max="4610" width="11.625" style="188" customWidth="1"/>
    <col min="4611" max="4611" width="4" style="188" customWidth="1"/>
    <col min="4612" max="4615" width="17.25" style="188" customWidth="1"/>
    <col min="4616" max="4616" width="6.75" style="188" customWidth="1"/>
    <col min="4617" max="4617" width="8.75" style="188" customWidth="1"/>
    <col min="4618" max="4618" width="7" style="188" customWidth="1"/>
    <col min="4619" max="4619" width="12.125" style="188" customWidth="1"/>
    <col min="4620" max="4861" width="7" style="188"/>
    <col min="4862" max="4862" width="9.625" style="188" customWidth="1"/>
    <col min="4863" max="4863" width="4" style="188" customWidth="1"/>
    <col min="4864" max="4864" width="11.25" style="188" customWidth="1"/>
    <col min="4865" max="4865" width="4" style="188" customWidth="1"/>
    <col min="4866" max="4866" width="11.625" style="188" customWidth="1"/>
    <col min="4867" max="4867" width="4" style="188" customWidth="1"/>
    <col min="4868" max="4871" width="17.25" style="188" customWidth="1"/>
    <col min="4872" max="4872" width="6.75" style="188" customWidth="1"/>
    <col min="4873" max="4873" width="8.75" style="188" customWidth="1"/>
    <col min="4874" max="4874" width="7" style="188" customWidth="1"/>
    <col min="4875" max="4875" width="12.125" style="188" customWidth="1"/>
    <col min="4876" max="5117" width="7" style="188"/>
    <col min="5118" max="5118" width="9.625" style="188" customWidth="1"/>
    <col min="5119" max="5119" width="4" style="188" customWidth="1"/>
    <col min="5120" max="5120" width="11.25" style="188" customWidth="1"/>
    <col min="5121" max="5121" width="4" style="188" customWidth="1"/>
    <col min="5122" max="5122" width="11.625" style="188" customWidth="1"/>
    <col min="5123" max="5123" width="4" style="188" customWidth="1"/>
    <col min="5124" max="5127" width="17.25" style="188" customWidth="1"/>
    <col min="5128" max="5128" width="6.75" style="188" customWidth="1"/>
    <col min="5129" max="5129" width="8.75" style="188" customWidth="1"/>
    <col min="5130" max="5130" width="7" style="188" customWidth="1"/>
    <col min="5131" max="5131" width="12.125" style="188" customWidth="1"/>
    <col min="5132" max="5373" width="7" style="188"/>
    <col min="5374" max="5374" width="9.625" style="188" customWidth="1"/>
    <col min="5375" max="5375" width="4" style="188" customWidth="1"/>
    <col min="5376" max="5376" width="11.25" style="188" customWidth="1"/>
    <col min="5377" max="5377" width="4" style="188" customWidth="1"/>
    <col min="5378" max="5378" width="11.625" style="188" customWidth="1"/>
    <col min="5379" max="5379" width="4" style="188" customWidth="1"/>
    <col min="5380" max="5383" width="17.25" style="188" customWidth="1"/>
    <col min="5384" max="5384" width="6.75" style="188" customWidth="1"/>
    <col min="5385" max="5385" width="8.75" style="188" customWidth="1"/>
    <col min="5386" max="5386" width="7" style="188" customWidth="1"/>
    <col min="5387" max="5387" width="12.125" style="188" customWidth="1"/>
    <col min="5388" max="5629" width="7" style="188"/>
    <col min="5630" max="5630" width="9.625" style="188" customWidth="1"/>
    <col min="5631" max="5631" width="4" style="188" customWidth="1"/>
    <col min="5632" max="5632" width="11.25" style="188" customWidth="1"/>
    <col min="5633" max="5633" width="4" style="188" customWidth="1"/>
    <col min="5634" max="5634" width="11.625" style="188" customWidth="1"/>
    <col min="5635" max="5635" width="4" style="188" customWidth="1"/>
    <col min="5636" max="5639" width="17.25" style="188" customWidth="1"/>
    <col min="5640" max="5640" width="6.75" style="188" customWidth="1"/>
    <col min="5641" max="5641" width="8.75" style="188" customWidth="1"/>
    <col min="5642" max="5642" width="7" style="188" customWidth="1"/>
    <col min="5643" max="5643" width="12.125" style="188" customWidth="1"/>
    <col min="5644" max="5885" width="7" style="188"/>
    <col min="5886" max="5886" width="9.625" style="188" customWidth="1"/>
    <col min="5887" max="5887" width="4" style="188" customWidth="1"/>
    <col min="5888" max="5888" width="11.25" style="188" customWidth="1"/>
    <col min="5889" max="5889" width="4" style="188" customWidth="1"/>
    <col min="5890" max="5890" width="11.625" style="188" customWidth="1"/>
    <col min="5891" max="5891" width="4" style="188" customWidth="1"/>
    <col min="5892" max="5895" width="17.25" style="188" customWidth="1"/>
    <col min="5896" max="5896" width="6.75" style="188" customWidth="1"/>
    <col min="5897" max="5897" width="8.75" style="188" customWidth="1"/>
    <col min="5898" max="5898" width="7" style="188" customWidth="1"/>
    <col min="5899" max="5899" width="12.125" style="188" customWidth="1"/>
    <col min="5900" max="6141" width="7" style="188"/>
    <col min="6142" max="6142" width="9.625" style="188" customWidth="1"/>
    <col min="6143" max="6143" width="4" style="188" customWidth="1"/>
    <col min="6144" max="6144" width="11.25" style="188" customWidth="1"/>
    <col min="6145" max="6145" width="4" style="188" customWidth="1"/>
    <col min="6146" max="6146" width="11.625" style="188" customWidth="1"/>
    <col min="6147" max="6147" width="4" style="188" customWidth="1"/>
    <col min="6148" max="6151" width="17.25" style="188" customWidth="1"/>
    <col min="6152" max="6152" width="6.75" style="188" customWidth="1"/>
    <col min="6153" max="6153" width="8.75" style="188" customWidth="1"/>
    <col min="6154" max="6154" width="7" style="188" customWidth="1"/>
    <col min="6155" max="6155" width="12.125" style="188" customWidth="1"/>
    <col min="6156" max="6397" width="7" style="188"/>
    <col min="6398" max="6398" width="9.625" style="188" customWidth="1"/>
    <col min="6399" max="6399" width="4" style="188" customWidth="1"/>
    <col min="6400" max="6400" width="11.25" style="188" customWidth="1"/>
    <col min="6401" max="6401" width="4" style="188" customWidth="1"/>
    <col min="6402" max="6402" width="11.625" style="188" customWidth="1"/>
    <col min="6403" max="6403" width="4" style="188" customWidth="1"/>
    <col min="6404" max="6407" width="17.25" style="188" customWidth="1"/>
    <col min="6408" max="6408" width="6.75" style="188" customWidth="1"/>
    <col min="6409" max="6409" width="8.75" style="188" customWidth="1"/>
    <col min="6410" max="6410" width="7" style="188" customWidth="1"/>
    <col min="6411" max="6411" width="12.125" style="188" customWidth="1"/>
    <col min="6412" max="6653" width="7" style="188"/>
    <col min="6654" max="6654" width="9.625" style="188" customWidth="1"/>
    <col min="6655" max="6655" width="4" style="188" customWidth="1"/>
    <col min="6656" max="6656" width="11.25" style="188" customWidth="1"/>
    <col min="6657" max="6657" width="4" style="188" customWidth="1"/>
    <col min="6658" max="6658" width="11.625" style="188" customWidth="1"/>
    <col min="6659" max="6659" width="4" style="188" customWidth="1"/>
    <col min="6660" max="6663" width="17.25" style="188" customWidth="1"/>
    <col min="6664" max="6664" width="6.75" style="188" customWidth="1"/>
    <col min="6665" max="6665" width="8.75" style="188" customWidth="1"/>
    <col min="6666" max="6666" width="7" style="188" customWidth="1"/>
    <col min="6667" max="6667" width="12.125" style="188" customWidth="1"/>
    <col min="6668" max="6909" width="7" style="188"/>
    <col min="6910" max="6910" width="9.625" style="188" customWidth="1"/>
    <col min="6911" max="6911" width="4" style="188" customWidth="1"/>
    <col min="6912" max="6912" width="11.25" style="188" customWidth="1"/>
    <col min="6913" max="6913" width="4" style="188" customWidth="1"/>
    <col min="6914" max="6914" width="11.625" style="188" customWidth="1"/>
    <col min="6915" max="6915" width="4" style="188" customWidth="1"/>
    <col min="6916" max="6919" width="17.25" style="188" customWidth="1"/>
    <col min="6920" max="6920" width="6.75" style="188" customWidth="1"/>
    <col min="6921" max="6921" width="8.75" style="188" customWidth="1"/>
    <col min="6922" max="6922" width="7" style="188" customWidth="1"/>
    <col min="6923" max="6923" width="12.125" style="188" customWidth="1"/>
    <col min="6924" max="7165" width="7" style="188"/>
    <col min="7166" max="7166" width="9.625" style="188" customWidth="1"/>
    <col min="7167" max="7167" width="4" style="188" customWidth="1"/>
    <col min="7168" max="7168" width="11.25" style="188" customWidth="1"/>
    <col min="7169" max="7169" width="4" style="188" customWidth="1"/>
    <col min="7170" max="7170" width="11.625" style="188" customWidth="1"/>
    <col min="7171" max="7171" width="4" style="188" customWidth="1"/>
    <col min="7172" max="7175" width="17.25" style="188" customWidth="1"/>
    <col min="7176" max="7176" width="6.75" style="188" customWidth="1"/>
    <col min="7177" max="7177" width="8.75" style="188" customWidth="1"/>
    <col min="7178" max="7178" width="7" style="188" customWidth="1"/>
    <col min="7179" max="7179" width="12.125" style="188" customWidth="1"/>
    <col min="7180" max="7421" width="7" style="188"/>
    <col min="7422" max="7422" width="9.625" style="188" customWidth="1"/>
    <col min="7423" max="7423" width="4" style="188" customWidth="1"/>
    <col min="7424" max="7424" width="11.25" style="188" customWidth="1"/>
    <col min="7425" max="7425" width="4" style="188" customWidth="1"/>
    <col min="7426" max="7426" width="11.625" style="188" customWidth="1"/>
    <col min="7427" max="7427" width="4" style="188" customWidth="1"/>
    <col min="7428" max="7431" width="17.25" style="188" customWidth="1"/>
    <col min="7432" max="7432" width="6.75" style="188" customWidth="1"/>
    <col min="7433" max="7433" width="8.75" style="188" customWidth="1"/>
    <col min="7434" max="7434" width="7" style="188" customWidth="1"/>
    <col min="7435" max="7435" width="12.125" style="188" customWidth="1"/>
    <col min="7436" max="7677" width="7" style="188"/>
    <col min="7678" max="7678" width="9.625" style="188" customWidth="1"/>
    <col min="7679" max="7679" width="4" style="188" customWidth="1"/>
    <col min="7680" max="7680" width="11.25" style="188" customWidth="1"/>
    <col min="7681" max="7681" width="4" style="188" customWidth="1"/>
    <col min="7682" max="7682" width="11.625" style="188" customWidth="1"/>
    <col min="7683" max="7683" width="4" style="188" customWidth="1"/>
    <col min="7684" max="7687" width="17.25" style="188" customWidth="1"/>
    <col min="7688" max="7688" width="6.75" style="188" customWidth="1"/>
    <col min="7689" max="7689" width="8.75" style="188" customWidth="1"/>
    <col min="7690" max="7690" width="7" style="188" customWidth="1"/>
    <col min="7691" max="7691" width="12.125" style="188" customWidth="1"/>
    <col min="7692" max="7933" width="7" style="188"/>
    <col min="7934" max="7934" width="9.625" style="188" customWidth="1"/>
    <col min="7935" max="7935" width="4" style="188" customWidth="1"/>
    <col min="7936" max="7936" width="11.25" style="188" customWidth="1"/>
    <col min="7937" max="7937" width="4" style="188" customWidth="1"/>
    <col min="7938" max="7938" width="11.625" style="188" customWidth="1"/>
    <col min="7939" max="7939" width="4" style="188" customWidth="1"/>
    <col min="7940" max="7943" width="17.25" style="188" customWidth="1"/>
    <col min="7944" max="7944" width="6.75" style="188" customWidth="1"/>
    <col min="7945" max="7945" width="8.75" style="188" customWidth="1"/>
    <col min="7946" max="7946" width="7" style="188" customWidth="1"/>
    <col min="7947" max="7947" width="12.125" style="188" customWidth="1"/>
    <col min="7948" max="8189" width="7" style="188"/>
    <col min="8190" max="8190" width="9.625" style="188" customWidth="1"/>
    <col min="8191" max="8191" width="4" style="188" customWidth="1"/>
    <col min="8192" max="8192" width="11.25" style="188" customWidth="1"/>
    <col min="8193" max="8193" width="4" style="188" customWidth="1"/>
    <col min="8194" max="8194" width="11.625" style="188" customWidth="1"/>
    <col min="8195" max="8195" width="4" style="188" customWidth="1"/>
    <col min="8196" max="8199" width="17.25" style="188" customWidth="1"/>
    <col min="8200" max="8200" width="6.75" style="188" customWidth="1"/>
    <col min="8201" max="8201" width="8.75" style="188" customWidth="1"/>
    <col min="8202" max="8202" width="7" style="188" customWidth="1"/>
    <col min="8203" max="8203" width="12.125" style="188" customWidth="1"/>
    <col min="8204" max="8445" width="7" style="188"/>
    <col min="8446" max="8446" width="9.625" style="188" customWidth="1"/>
    <col min="8447" max="8447" width="4" style="188" customWidth="1"/>
    <col min="8448" max="8448" width="11.25" style="188" customWidth="1"/>
    <col min="8449" max="8449" width="4" style="188" customWidth="1"/>
    <col min="8450" max="8450" width="11.625" style="188" customWidth="1"/>
    <col min="8451" max="8451" width="4" style="188" customWidth="1"/>
    <col min="8452" max="8455" width="17.25" style="188" customWidth="1"/>
    <col min="8456" max="8456" width="6.75" style="188" customWidth="1"/>
    <col min="8457" max="8457" width="8.75" style="188" customWidth="1"/>
    <col min="8458" max="8458" width="7" style="188" customWidth="1"/>
    <col min="8459" max="8459" width="12.125" style="188" customWidth="1"/>
    <col min="8460" max="8701" width="7" style="188"/>
    <col min="8702" max="8702" width="9.625" style="188" customWidth="1"/>
    <col min="8703" max="8703" width="4" style="188" customWidth="1"/>
    <col min="8704" max="8704" width="11.25" style="188" customWidth="1"/>
    <col min="8705" max="8705" width="4" style="188" customWidth="1"/>
    <col min="8706" max="8706" width="11.625" style="188" customWidth="1"/>
    <col min="8707" max="8707" width="4" style="188" customWidth="1"/>
    <col min="8708" max="8711" width="17.25" style="188" customWidth="1"/>
    <col min="8712" max="8712" width="6.75" style="188" customWidth="1"/>
    <col min="8713" max="8713" width="8.75" style="188" customWidth="1"/>
    <col min="8714" max="8714" width="7" style="188" customWidth="1"/>
    <col min="8715" max="8715" width="12.125" style="188" customWidth="1"/>
    <col min="8716" max="8957" width="7" style="188"/>
    <col min="8958" max="8958" width="9.625" style="188" customWidth="1"/>
    <col min="8959" max="8959" width="4" style="188" customWidth="1"/>
    <col min="8960" max="8960" width="11.25" style="188" customWidth="1"/>
    <col min="8961" max="8961" width="4" style="188" customWidth="1"/>
    <col min="8962" max="8962" width="11.625" style="188" customWidth="1"/>
    <col min="8963" max="8963" width="4" style="188" customWidth="1"/>
    <col min="8964" max="8967" width="17.25" style="188" customWidth="1"/>
    <col min="8968" max="8968" width="6.75" style="188" customWidth="1"/>
    <col min="8969" max="8969" width="8.75" style="188" customWidth="1"/>
    <col min="8970" max="8970" width="7" style="188" customWidth="1"/>
    <col min="8971" max="8971" width="12.125" style="188" customWidth="1"/>
    <col min="8972" max="9213" width="7" style="188"/>
    <col min="9214" max="9214" width="9.625" style="188" customWidth="1"/>
    <col min="9215" max="9215" width="4" style="188" customWidth="1"/>
    <col min="9216" max="9216" width="11.25" style="188" customWidth="1"/>
    <col min="9217" max="9217" width="4" style="188" customWidth="1"/>
    <col min="9218" max="9218" width="11.625" style="188" customWidth="1"/>
    <col min="9219" max="9219" width="4" style="188" customWidth="1"/>
    <col min="9220" max="9223" width="17.25" style="188" customWidth="1"/>
    <col min="9224" max="9224" width="6.75" style="188" customWidth="1"/>
    <col min="9225" max="9225" width="8.75" style="188" customWidth="1"/>
    <col min="9226" max="9226" width="7" style="188" customWidth="1"/>
    <col min="9227" max="9227" width="12.125" style="188" customWidth="1"/>
    <col min="9228" max="9469" width="7" style="188"/>
    <col min="9470" max="9470" width="9.625" style="188" customWidth="1"/>
    <col min="9471" max="9471" width="4" style="188" customWidth="1"/>
    <col min="9472" max="9472" width="11.25" style="188" customWidth="1"/>
    <col min="9473" max="9473" width="4" style="188" customWidth="1"/>
    <col min="9474" max="9474" width="11.625" style="188" customWidth="1"/>
    <col min="9475" max="9475" width="4" style="188" customWidth="1"/>
    <col min="9476" max="9479" width="17.25" style="188" customWidth="1"/>
    <col min="9480" max="9480" width="6.75" style="188" customWidth="1"/>
    <col min="9481" max="9481" width="8.75" style="188" customWidth="1"/>
    <col min="9482" max="9482" width="7" style="188" customWidth="1"/>
    <col min="9483" max="9483" width="12.125" style="188" customWidth="1"/>
    <col min="9484" max="9725" width="7" style="188"/>
    <col min="9726" max="9726" width="9.625" style="188" customWidth="1"/>
    <col min="9727" max="9727" width="4" style="188" customWidth="1"/>
    <col min="9728" max="9728" width="11.25" style="188" customWidth="1"/>
    <col min="9729" max="9729" width="4" style="188" customWidth="1"/>
    <col min="9730" max="9730" width="11.625" style="188" customWidth="1"/>
    <col min="9731" max="9731" width="4" style="188" customWidth="1"/>
    <col min="9732" max="9735" width="17.25" style="188" customWidth="1"/>
    <col min="9736" max="9736" width="6.75" style="188" customWidth="1"/>
    <col min="9737" max="9737" width="8.75" style="188" customWidth="1"/>
    <col min="9738" max="9738" width="7" style="188" customWidth="1"/>
    <col min="9739" max="9739" width="12.125" style="188" customWidth="1"/>
    <col min="9740" max="9981" width="7" style="188"/>
    <col min="9982" max="9982" width="9.625" style="188" customWidth="1"/>
    <col min="9983" max="9983" width="4" style="188" customWidth="1"/>
    <col min="9984" max="9984" width="11.25" style="188" customWidth="1"/>
    <col min="9985" max="9985" width="4" style="188" customWidth="1"/>
    <col min="9986" max="9986" width="11.625" style="188" customWidth="1"/>
    <col min="9987" max="9987" width="4" style="188" customWidth="1"/>
    <col min="9988" max="9991" width="17.25" style="188" customWidth="1"/>
    <col min="9992" max="9992" width="6.75" style="188" customWidth="1"/>
    <col min="9993" max="9993" width="8.75" style="188" customWidth="1"/>
    <col min="9994" max="9994" width="7" style="188" customWidth="1"/>
    <col min="9995" max="9995" width="12.125" style="188" customWidth="1"/>
    <col min="9996" max="10237" width="7" style="188"/>
    <col min="10238" max="10238" width="9.625" style="188" customWidth="1"/>
    <col min="10239" max="10239" width="4" style="188" customWidth="1"/>
    <col min="10240" max="10240" width="11.25" style="188" customWidth="1"/>
    <col min="10241" max="10241" width="4" style="188" customWidth="1"/>
    <col min="10242" max="10242" width="11.625" style="188" customWidth="1"/>
    <col min="10243" max="10243" width="4" style="188" customWidth="1"/>
    <col min="10244" max="10247" width="17.25" style="188" customWidth="1"/>
    <col min="10248" max="10248" width="6.75" style="188" customWidth="1"/>
    <col min="10249" max="10249" width="8.75" style="188" customWidth="1"/>
    <col min="10250" max="10250" width="7" style="188" customWidth="1"/>
    <col min="10251" max="10251" width="12.125" style="188" customWidth="1"/>
    <col min="10252" max="10493" width="7" style="188"/>
    <col min="10494" max="10494" width="9.625" style="188" customWidth="1"/>
    <col min="10495" max="10495" width="4" style="188" customWidth="1"/>
    <col min="10496" max="10496" width="11.25" style="188" customWidth="1"/>
    <col min="10497" max="10497" width="4" style="188" customWidth="1"/>
    <col min="10498" max="10498" width="11.625" style="188" customWidth="1"/>
    <col min="10499" max="10499" width="4" style="188" customWidth="1"/>
    <col min="10500" max="10503" width="17.25" style="188" customWidth="1"/>
    <col min="10504" max="10504" width="6.75" style="188" customWidth="1"/>
    <col min="10505" max="10505" width="8.75" style="188" customWidth="1"/>
    <col min="10506" max="10506" width="7" style="188" customWidth="1"/>
    <col min="10507" max="10507" width="12.125" style="188" customWidth="1"/>
    <col min="10508" max="10749" width="7" style="188"/>
    <col min="10750" max="10750" width="9.625" style="188" customWidth="1"/>
    <col min="10751" max="10751" width="4" style="188" customWidth="1"/>
    <col min="10752" max="10752" width="11.25" style="188" customWidth="1"/>
    <col min="10753" max="10753" width="4" style="188" customWidth="1"/>
    <col min="10754" max="10754" width="11.625" style="188" customWidth="1"/>
    <col min="10755" max="10755" width="4" style="188" customWidth="1"/>
    <col min="10756" max="10759" width="17.25" style="188" customWidth="1"/>
    <col min="10760" max="10760" width="6.75" style="188" customWidth="1"/>
    <col min="10761" max="10761" width="8.75" style="188" customWidth="1"/>
    <col min="10762" max="10762" width="7" style="188" customWidth="1"/>
    <col min="10763" max="10763" width="12.125" style="188" customWidth="1"/>
    <col min="10764" max="11005" width="7" style="188"/>
    <col min="11006" max="11006" width="9.625" style="188" customWidth="1"/>
    <col min="11007" max="11007" width="4" style="188" customWidth="1"/>
    <col min="11008" max="11008" width="11.25" style="188" customWidth="1"/>
    <col min="11009" max="11009" width="4" style="188" customWidth="1"/>
    <col min="11010" max="11010" width="11.625" style="188" customWidth="1"/>
    <col min="11011" max="11011" width="4" style="188" customWidth="1"/>
    <col min="11012" max="11015" width="17.25" style="188" customWidth="1"/>
    <col min="11016" max="11016" width="6.75" style="188" customWidth="1"/>
    <col min="11017" max="11017" width="8.75" style="188" customWidth="1"/>
    <col min="11018" max="11018" width="7" style="188" customWidth="1"/>
    <col min="11019" max="11019" width="12.125" style="188" customWidth="1"/>
    <col min="11020" max="11261" width="7" style="188"/>
    <col min="11262" max="11262" width="9.625" style="188" customWidth="1"/>
    <col min="11263" max="11263" width="4" style="188" customWidth="1"/>
    <col min="11264" max="11264" width="11.25" style="188" customWidth="1"/>
    <col min="11265" max="11265" width="4" style="188" customWidth="1"/>
    <col min="11266" max="11266" width="11.625" style="188" customWidth="1"/>
    <col min="11267" max="11267" width="4" style="188" customWidth="1"/>
    <col min="11268" max="11271" width="17.25" style="188" customWidth="1"/>
    <col min="11272" max="11272" width="6.75" style="188" customWidth="1"/>
    <col min="11273" max="11273" width="8.75" style="188" customWidth="1"/>
    <col min="11274" max="11274" width="7" style="188" customWidth="1"/>
    <col min="11275" max="11275" width="12.125" style="188" customWidth="1"/>
    <col min="11276" max="11517" width="7" style="188"/>
    <col min="11518" max="11518" width="9.625" style="188" customWidth="1"/>
    <col min="11519" max="11519" width="4" style="188" customWidth="1"/>
    <col min="11520" max="11520" width="11.25" style="188" customWidth="1"/>
    <col min="11521" max="11521" width="4" style="188" customWidth="1"/>
    <col min="11522" max="11522" width="11.625" style="188" customWidth="1"/>
    <col min="11523" max="11523" width="4" style="188" customWidth="1"/>
    <col min="11524" max="11527" width="17.25" style="188" customWidth="1"/>
    <col min="11528" max="11528" width="6.75" style="188" customWidth="1"/>
    <col min="11529" max="11529" width="8.75" style="188" customWidth="1"/>
    <col min="11530" max="11530" width="7" style="188" customWidth="1"/>
    <col min="11531" max="11531" width="12.125" style="188" customWidth="1"/>
    <col min="11532" max="11773" width="7" style="188"/>
    <col min="11774" max="11774" width="9.625" style="188" customWidth="1"/>
    <col min="11775" max="11775" width="4" style="188" customWidth="1"/>
    <col min="11776" max="11776" width="11.25" style="188" customWidth="1"/>
    <col min="11777" max="11777" width="4" style="188" customWidth="1"/>
    <col min="11778" max="11778" width="11.625" style="188" customWidth="1"/>
    <col min="11779" max="11779" width="4" style="188" customWidth="1"/>
    <col min="11780" max="11783" width="17.25" style="188" customWidth="1"/>
    <col min="11784" max="11784" width="6.75" style="188" customWidth="1"/>
    <col min="11785" max="11785" width="8.75" style="188" customWidth="1"/>
    <col min="11786" max="11786" width="7" style="188" customWidth="1"/>
    <col min="11787" max="11787" width="12.125" style="188" customWidth="1"/>
    <col min="11788" max="12029" width="7" style="188"/>
    <col min="12030" max="12030" width="9.625" style="188" customWidth="1"/>
    <col min="12031" max="12031" width="4" style="188" customWidth="1"/>
    <col min="12032" max="12032" width="11.25" style="188" customWidth="1"/>
    <col min="12033" max="12033" width="4" style="188" customWidth="1"/>
    <col min="12034" max="12034" width="11.625" style="188" customWidth="1"/>
    <col min="12035" max="12035" width="4" style="188" customWidth="1"/>
    <col min="12036" max="12039" width="17.25" style="188" customWidth="1"/>
    <col min="12040" max="12040" width="6.75" style="188" customWidth="1"/>
    <col min="12041" max="12041" width="8.75" style="188" customWidth="1"/>
    <col min="12042" max="12042" width="7" style="188" customWidth="1"/>
    <col min="12043" max="12043" width="12.125" style="188" customWidth="1"/>
    <col min="12044" max="12285" width="7" style="188"/>
    <col min="12286" max="12286" width="9.625" style="188" customWidth="1"/>
    <col min="12287" max="12287" width="4" style="188" customWidth="1"/>
    <col min="12288" max="12288" width="11.25" style="188" customWidth="1"/>
    <col min="12289" max="12289" width="4" style="188" customWidth="1"/>
    <col min="12290" max="12290" width="11.625" style="188" customWidth="1"/>
    <col min="12291" max="12291" width="4" style="188" customWidth="1"/>
    <col min="12292" max="12295" width="17.25" style="188" customWidth="1"/>
    <col min="12296" max="12296" width="6.75" style="188" customWidth="1"/>
    <col min="12297" max="12297" width="8.75" style="188" customWidth="1"/>
    <col min="12298" max="12298" width="7" style="188" customWidth="1"/>
    <col min="12299" max="12299" width="12.125" style="188" customWidth="1"/>
    <col min="12300" max="12541" width="7" style="188"/>
    <col min="12542" max="12542" width="9.625" style="188" customWidth="1"/>
    <col min="12543" max="12543" width="4" style="188" customWidth="1"/>
    <col min="12544" max="12544" width="11.25" style="188" customWidth="1"/>
    <col min="12545" max="12545" width="4" style="188" customWidth="1"/>
    <col min="12546" max="12546" width="11.625" style="188" customWidth="1"/>
    <col min="12547" max="12547" width="4" style="188" customWidth="1"/>
    <col min="12548" max="12551" width="17.25" style="188" customWidth="1"/>
    <col min="12552" max="12552" width="6.75" style="188" customWidth="1"/>
    <col min="12553" max="12553" width="8.75" style="188" customWidth="1"/>
    <col min="12554" max="12554" width="7" style="188" customWidth="1"/>
    <col min="12555" max="12555" width="12.125" style="188" customWidth="1"/>
    <col min="12556" max="12797" width="7" style="188"/>
    <col min="12798" max="12798" width="9.625" style="188" customWidth="1"/>
    <col min="12799" max="12799" width="4" style="188" customWidth="1"/>
    <col min="12800" max="12800" width="11.25" style="188" customWidth="1"/>
    <col min="12801" max="12801" width="4" style="188" customWidth="1"/>
    <col min="12802" max="12802" width="11.625" style="188" customWidth="1"/>
    <col min="12803" max="12803" width="4" style="188" customWidth="1"/>
    <col min="12804" max="12807" width="17.25" style="188" customWidth="1"/>
    <col min="12808" max="12808" width="6.75" style="188" customWidth="1"/>
    <col min="12809" max="12809" width="8.75" style="188" customWidth="1"/>
    <col min="12810" max="12810" width="7" style="188" customWidth="1"/>
    <col min="12811" max="12811" width="12.125" style="188" customWidth="1"/>
    <col min="12812" max="13053" width="7" style="188"/>
    <col min="13054" max="13054" width="9.625" style="188" customWidth="1"/>
    <col min="13055" max="13055" width="4" style="188" customWidth="1"/>
    <col min="13056" max="13056" width="11.25" style="188" customWidth="1"/>
    <col min="13057" max="13057" width="4" style="188" customWidth="1"/>
    <col min="13058" max="13058" width="11.625" style="188" customWidth="1"/>
    <col min="13059" max="13059" width="4" style="188" customWidth="1"/>
    <col min="13060" max="13063" width="17.25" style="188" customWidth="1"/>
    <col min="13064" max="13064" width="6.75" style="188" customWidth="1"/>
    <col min="13065" max="13065" width="8.75" style="188" customWidth="1"/>
    <col min="13066" max="13066" width="7" style="188" customWidth="1"/>
    <col min="13067" max="13067" width="12.125" style="188" customWidth="1"/>
    <col min="13068" max="13309" width="7" style="188"/>
    <col min="13310" max="13310" width="9.625" style="188" customWidth="1"/>
    <col min="13311" max="13311" width="4" style="188" customWidth="1"/>
    <col min="13312" max="13312" width="11.25" style="188" customWidth="1"/>
    <col min="13313" max="13313" width="4" style="188" customWidth="1"/>
    <col min="13314" max="13314" width="11.625" style="188" customWidth="1"/>
    <col min="13315" max="13315" width="4" style="188" customWidth="1"/>
    <col min="13316" max="13319" width="17.25" style="188" customWidth="1"/>
    <col min="13320" max="13320" width="6.75" style="188" customWidth="1"/>
    <col min="13321" max="13321" width="8.75" style="188" customWidth="1"/>
    <col min="13322" max="13322" width="7" style="188" customWidth="1"/>
    <col min="13323" max="13323" width="12.125" style="188" customWidth="1"/>
    <col min="13324" max="13565" width="7" style="188"/>
    <col min="13566" max="13566" width="9.625" style="188" customWidth="1"/>
    <col min="13567" max="13567" width="4" style="188" customWidth="1"/>
    <col min="13568" max="13568" width="11.25" style="188" customWidth="1"/>
    <col min="13569" max="13569" width="4" style="188" customWidth="1"/>
    <col min="13570" max="13570" width="11.625" style="188" customWidth="1"/>
    <col min="13571" max="13571" width="4" style="188" customWidth="1"/>
    <col min="13572" max="13575" width="17.25" style="188" customWidth="1"/>
    <col min="13576" max="13576" width="6.75" style="188" customWidth="1"/>
    <col min="13577" max="13577" width="8.75" style="188" customWidth="1"/>
    <col min="13578" max="13578" width="7" style="188" customWidth="1"/>
    <col min="13579" max="13579" width="12.125" style="188" customWidth="1"/>
    <col min="13580" max="13821" width="7" style="188"/>
    <col min="13822" max="13822" width="9.625" style="188" customWidth="1"/>
    <col min="13823" max="13823" width="4" style="188" customWidth="1"/>
    <col min="13824" max="13824" width="11.25" style="188" customWidth="1"/>
    <col min="13825" max="13825" width="4" style="188" customWidth="1"/>
    <col min="13826" max="13826" width="11.625" style="188" customWidth="1"/>
    <col min="13827" max="13827" width="4" style="188" customWidth="1"/>
    <col min="13828" max="13831" width="17.25" style="188" customWidth="1"/>
    <col min="13832" max="13832" width="6.75" style="188" customWidth="1"/>
    <col min="13833" max="13833" width="8.75" style="188" customWidth="1"/>
    <col min="13834" max="13834" width="7" style="188" customWidth="1"/>
    <col min="13835" max="13835" width="12.125" style="188" customWidth="1"/>
    <col min="13836" max="14077" width="7" style="188"/>
    <col min="14078" max="14078" width="9.625" style="188" customWidth="1"/>
    <col min="14079" max="14079" width="4" style="188" customWidth="1"/>
    <col min="14080" max="14080" width="11.25" style="188" customWidth="1"/>
    <col min="14081" max="14081" width="4" style="188" customWidth="1"/>
    <col min="14082" max="14082" width="11.625" style="188" customWidth="1"/>
    <col min="14083" max="14083" width="4" style="188" customWidth="1"/>
    <col min="14084" max="14087" width="17.25" style="188" customWidth="1"/>
    <col min="14088" max="14088" width="6.75" style="188" customWidth="1"/>
    <col min="14089" max="14089" width="8.75" style="188" customWidth="1"/>
    <col min="14090" max="14090" width="7" style="188" customWidth="1"/>
    <col min="14091" max="14091" width="12.125" style="188" customWidth="1"/>
    <col min="14092" max="14333" width="7" style="188"/>
    <col min="14334" max="14334" width="9.625" style="188" customWidth="1"/>
    <col min="14335" max="14335" width="4" style="188" customWidth="1"/>
    <col min="14336" max="14336" width="11.25" style="188" customWidth="1"/>
    <col min="14337" max="14337" width="4" style="188" customWidth="1"/>
    <col min="14338" max="14338" width="11.625" style="188" customWidth="1"/>
    <col min="14339" max="14339" width="4" style="188" customWidth="1"/>
    <col min="14340" max="14343" width="17.25" style="188" customWidth="1"/>
    <col min="14344" max="14344" width="6.75" style="188" customWidth="1"/>
    <col min="14345" max="14345" width="8.75" style="188" customWidth="1"/>
    <col min="14346" max="14346" width="7" style="188" customWidth="1"/>
    <col min="14347" max="14347" width="12.125" style="188" customWidth="1"/>
    <col min="14348" max="14589" width="7" style="188"/>
    <col min="14590" max="14590" width="9.625" style="188" customWidth="1"/>
    <col min="14591" max="14591" width="4" style="188" customWidth="1"/>
    <col min="14592" max="14592" width="11.25" style="188" customWidth="1"/>
    <col min="14593" max="14593" width="4" style="188" customWidth="1"/>
    <col min="14594" max="14594" width="11.625" style="188" customWidth="1"/>
    <col min="14595" max="14595" width="4" style="188" customWidth="1"/>
    <col min="14596" max="14599" width="17.25" style="188" customWidth="1"/>
    <col min="14600" max="14600" width="6.75" style="188" customWidth="1"/>
    <col min="14601" max="14601" width="8.75" style="188" customWidth="1"/>
    <col min="14602" max="14602" width="7" style="188" customWidth="1"/>
    <col min="14603" max="14603" width="12.125" style="188" customWidth="1"/>
    <col min="14604" max="14845" width="7" style="188"/>
    <col min="14846" max="14846" width="9.625" style="188" customWidth="1"/>
    <col min="14847" max="14847" width="4" style="188" customWidth="1"/>
    <col min="14848" max="14848" width="11.25" style="188" customWidth="1"/>
    <col min="14849" max="14849" width="4" style="188" customWidth="1"/>
    <col min="14850" max="14850" width="11.625" style="188" customWidth="1"/>
    <col min="14851" max="14851" width="4" style="188" customWidth="1"/>
    <col min="14852" max="14855" width="17.25" style="188" customWidth="1"/>
    <col min="14856" max="14856" width="6.75" style="188" customWidth="1"/>
    <col min="14857" max="14857" width="8.75" style="188" customWidth="1"/>
    <col min="14858" max="14858" width="7" style="188" customWidth="1"/>
    <col min="14859" max="14859" width="12.125" style="188" customWidth="1"/>
    <col min="14860" max="15101" width="7" style="188"/>
    <col min="15102" max="15102" width="9.625" style="188" customWidth="1"/>
    <col min="15103" max="15103" width="4" style="188" customWidth="1"/>
    <col min="15104" max="15104" width="11.25" style="188" customWidth="1"/>
    <col min="15105" max="15105" width="4" style="188" customWidth="1"/>
    <col min="15106" max="15106" width="11.625" style="188" customWidth="1"/>
    <col min="15107" max="15107" width="4" style="188" customWidth="1"/>
    <col min="15108" max="15111" width="17.25" style="188" customWidth="1"/>
    <col min="15112" max="15112" width="6.75" style="188" customWidth="1"/>
    <col min="15113" max="15113" width="8.75" style="188" customWidth="1"/>
    <col min="15114" max="15114" width="7" style="188" customWidth="1"/>
    <col min="15115" max="15115" width="12.125" style="188" customWidth="1"/>
    <col min="15116" max="15357" width="7" style="188"/>
    <col min="15358" max="15358" width="9.625" style="188" customWidth="1"/>
    <col min="15359" max="15359" width="4" style="188" customWidth="1"/>
    <col min="15360" max="15360" width="11.25" style="188" customWidth="1"/>
    <col min="15361" max="15361" width="4" style="188" customWidth="1"/>
    <col min="15362" max="15362" width="11.625" style="188" customWidth="1"/>
    <col min="15363" max="15363" width="4" style="188" customWidth="1"/>
    <col min="15364" max="15367" width="17.25" style="188" customWidth="1"/>
    <col min="15368" max="15368" width="6.75" style="188" customWidth="1"/>
    <col min="15369" max="15369" width="8.75" style="188" customWidth="1"/>
    <col min="15370" max="15370" width="7" style="188" customWidth="1"/>
    <col min="15371" max="15371" width="12.125" style="188" customWidth="1"/>
    <col min="15372" max="15613" width="7" style="188"/>
    <col min="15614" max="15614" width="9.625" style="188" customWidth="1"/>
    <col min="15615" max="15615" width="4" style="188" customWidth="1"/>
    <col min="15616" max="15616" width="11.25" style="188" customWidth="1"/>
    <col min="15617" max="15617" width="4" style="188" customWidth="1"/>
    <col min="15618" max="15618" width="11.625" style="188" customWidth="1"/>
    <col min="15619" max="15619" width="4" style="188" customWidth="1"/>
    <col min="15620" max="15623" width="17.25" style="188" customWidth="1"/>
    <col min="15624" max="15624" width="6.75" style="188" customWidth="1"/>
    <col min="15625" max="15625" width="8.75" style="188" customWidth="1"/>
    <col min="15626" max="15626" width="7" style="188" customWidth="1"/>
    <col min="15627" max="15627" width="12.125" style="188" customWidth="1"/>
    <col min="15628" max="15869" width="7" style="188"/>
    <col min="15870" max="15870" width="9.625" style="188" customWidth="1"/>
    <col min="15871" max="15871" width="4" style="188" customWidth="1"/>
    <col min="15872" max="15872" width="11.25" style="188" customWidth="1"/>
    <col min="15873" max="15873" width="4" style="188" customWidth="1"/>
    <col min="15874" max="15874" width="11.625" style="188" customWidth="1"/>
    <col min="15875" max="15875" width="4" style="188" customWidth="1"/>
    <col min="15876" max="15879" width="17.25" style="188" customWidth="1"/>
    <col min="15880" max="15880" width="6.75" style="188" customWidth="1"/>
    <col min="15881" max="15881" width="8.75" style="188" customWidth="1"/>
    <col min="15882" max="15882" width="7" style="188" customWidth="1"/>
    <col min="15883" max="15883" width="12.125" style="188" customWidth="1"/>
    <col min="15884" max="16125" width="7" style="188"/>
    <col min="16126" max="16126" width="9.625" style="188" customWidth="1"/>
    <col min="16127" max="16127" width="4" style="188" customWidth="1"/>
    <col min="16128" max="16128" width="11.25" style="188" customWidth="1"/>
    <col min="16129" max="16129" width="4" style="188" customWidth="1"/>
    <col min="16130" max="16130" width="11.625" style="188" customWidth="1"/>
    <col min="16131" max="16131" width="4" style="188" customWidth="1"/>
    <col min="16132" max="16135" width="17.25" style="188" customWidth="1"/>
    <col min="16136" max="16136" width="6.75" style="188" customWidth="1"/>
    <col min="16137" max="16137" width="8.75" style="188" customWidth="1"/>
    <col min="16138" max="16138" width="7" style="188" customWidth="1"/>
    <col min="16139" max="16139" width="12.125" style="188" customWidth="1"/>
    <col min="16140" max="16384" width="7" style="188"/>
  </cols>
  <sheetData>
    <row r="1" spans="2:14" s="171" customFormat="1" ht="26.25"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8"/>
      <c r="M1" s="169" t="s">
        <v>218</v>
      </c>
      <c r="N1" s="170"/>
    </row>
    <row r="2" spans="2:14" s="173" customFormat="1" ht="26.25" customHeight="1">
      <c r="B2" s="172" t="s">
        <v>219</v>
      </c>
      <c r="E2" s="352" t="s">
        <v>660</v>
      </c>
      <c r="H2" s="173" t="s">
        <v>220</v>
      </c>
      <c r="I2" s="353"/>
      <c r="J2" s="173" t="s">
        <v>221</v>
      </c>
      <c r="K2" s="354"/>
      <c r="L2" s="174"/>
      <c r="M2" s="175"/>
      <c r="N2" s="175"/>
    </row>
    <row r="3" spans="2:14" s="182" customFormat="1" ht="27" customHeight="1">
      <c r="B3" s="176" t="s">
        <v>222</v>
      </c>
      <c r="C3" s="177"/>
      <c r="D3" s="177"/>
      <c r="E3" s="355"/>
      <c r="F3" s="178"/>
      <c r="G3" s="178"/>
      <c r="H3" s="176" t="s">
        <v>223</v>
      </c>
      <c r="I3" s="176"/>
      <c r="J3" s="176"/>
      <c r="K3" s="179"/>
      <c r="L3" s="180"/>
      <c r="M3" s="181"/>
      <c r="N3" s="175"/>
    </row>
    <row r="4" spans="2:14" s="183" customFormat="1"/>
    <row r="5" spans="2:14" s="185" customFormat="1" ht="15.6" customHeight="1">
      <c r="B5" s="397" t="s">
        <v>224</v>
      </c>
      <c r="C5" s="398"/>
      <c r="D5" s="398"/>
      <c r="E5" s="398"/>
      <c r="F5" s="399"/>
      <c r="G5" s="403" t="s">
        <v>225</v>
      </c>
      <c r="H5" s="403"/>
      <c r="I5" s="403" t="s">
        <v>226</v>
      </c>
      <c r="J5" s="403"/>
      <c r="K5" s="404" t="s">
        <v>227</v>
      </c>
      <c r="L5" s="394" t="s">
        <v>228</v>
      </c>
      <c r="M5" s="394" t="s">
        <v>229</v>
      </c>
      <c r="N5" s="184"/>
    </row>
    <row r="6" spans="2:14" s="185" customFormat="1" ht="15.6" customHeight="1" thickBot="1">
      <c r="B6" s="400"/>
      <c r="C6" s="401"/>
      <c r="D6" s="401"/>
      <c r="E6" s="401"/>
      <c r="F6" s="402"/>
      <c r="G6" s="186" t="s">
        <v>230</v>
      </c>
      <c r="H6" s="186" t="s">
        <v>231</v>
      </c>
      <c r="I6" s="186" t="s">
        <v>230</v>
      </c>
      <c r="J6" s="186" t="s">
        <v>231</v>
      </c>
      <c r="K6" s="405"/>
      <c r="L6" s="395"/>
      <c r="M6" s="395"/>
      <c r="N6" s="187"/>
    </row>
    <row r="7" spans="2:14" ht="15.6" customHeight="1">
      <c r="B7" s="320"/>
      <c r="C7" s="287"/>
      <c r="D7" s="287"/>
      <c r="E7" s="321"/>
      <c r="F7" s="288"/>
      <c r="G7" s="289"/>
      <c r="H7" s="290"/>
      <c r="I7" s="289"/>
      <c r="J7" s="289"/>
      <c r="K7" s="190"/>
      <c r="L7" s="291"/>
      <c r="M7" s="196"/>
    </row>
    <row r="8" spans="2:14" ht="15.6" customHeight="1">
      <c r="B8" s="322"/>
      <c r="E8" s="191"/>
      <c r="F8" s="189"/>
      <c r="G8" s="190"/>
      <c r="H8" s="191"/>
      <c r="I8" s="190"/>
      <c r="J8" s="190"/>
      <c r="K8" s="190"/>
      <c r="L8" s="192"/>
      <c r="M8" s="196"/>
    </row>
    <row r="9" spans="2:14" ht="15.6" customHeight="1">
      <c r="B9" s="195"/>
      <c r="F9" s="189"/>
      <c r="G9" s="190"/>
      <c r="H9" s="191"/>
      <c r="I9" s="190"/>
      <c r="J9" s="190"/>
      <c r="K9" s="190"/>
      <c r="L9" s="192"/>
      <c r="M9" s="193"/>
    </row>
    <row r="10" spans="2:14" ht="15.6" customHeight="1">
      <c r="B10" s="195"/>
      <c r="F10" s="189"/>
      <c r="G10" s="190"/>
      <c r="H10" s="191"/>
      <c r="I10" s="190"/>
      <c r="J10" s="190"/>
      <c r="K10" s="190"/>
      <c r="L10" s="192"/>
      <c r="M10" s="193"/>
    </row>
    <row r="11" spans="2:14" ht="15.6" customHeight="1">
      <c r="B11" s="195"/>
      <c r="F11" s="189"/>
      <c r="G11" s="190"/>
      <c r="H11" s="191"/>
      <c r="I11" s="190"/>
      <c r="J11" s="190"/>
      <c r="K11" s="190"/>
      <c r="L11" s="192"/>
      <c r="M11" s="193"/>
    </row>
    <row r="12" spans="2:14" ht="15.6" customHeight="1">
      <c r="B12" s="195"/>
      <c r="F12" s="189"/>
      <c r="G12" s="190"/>
      <c r="H12" s="191"/>
      <c r="I12" s="190"/>
      <c r="J12" s="190"/>
      <c r="K12" s="190"/>
      <c r="L12" s="192"/>
      <c r="M12" s="193"/>
    </row>
    <row r="13" spans="2:14" ht="15.6" customHeight="1">
      <c r="B13" s="195"/>
      <c r="F13" s="189"/>
      <c r="G13" s="190"/>
      <c r="H13" s="191"/>
      <c r="I13" s="190"/>
      <c r="J13" s="190"/>
      <c r="K13" s="190"/>
      <c r="L13" s="192"/>
      <c r="M13" s="193"/>
    </row>
    <row r="14" spans="2:14" ht="15.6" customHeight="1">
      <c r="B14" s="195"/>
      <c r="F14" s="189"/>
      <c r="G14" s="190"/>
      <c r="H14" s="191"/>
      <c r="I14" s="190"/>
      <c r="J14" s="190"/>
      <c r="K14" s="190"/>
      <c r="L14" s="192"/>
      <c r="M14" s="193"/>
    </row>
    <row r="15" spans="2:14" ht="15.6" customHeight="1">
      <c r="B15" s="195"/>
      <c r="F15" s="189"/>
      <c r="G15" s="190"/>
      <c r="H15" s="191"/>
      <c r="I15" s="190"/>
      <c r="J15" s="190"/>
      <c r="K15" s="190"/>
      <c r="L15" s="192"/>
      <c r="M15" s="193"/>
    </row>
    <row r="16" spans="2:14" ht="15.6" customHeight="1">
      <c r="B16" s="195"/>
      <c r="F16" s="189"/>
      <c r="G16" s="190"/>
      <c r="H16" s="191"/>
      <c r="I16" s="190"/>
      <c r="J16" s="190"/>
      <c r="K16" s="190"/>
      <c r="L16" s="192"/>
      <c r="M16" s="193"/>
    </row>
    <row r="17" spans="2:13" ht="15.6" customHeight="1">
      <c r="B17" s="195"/>
      <c r="F17" s="189"/>
      <c r="G17" s="190"/>
      <c r="H17" s="191"/>
      <c r="I17" s="190"/>
      <c r="J17" s="190"/>
      <c r="K17" s="190"/>
      <c r="L17" s="192"/>
      <c r="M17" s="193"/>
    </row>
    <row r="18" spans="2:13" ht="15.6" customHeight="1">
      <c r="B18" s="195"/>
      <c r="F18" s="189"/>
      <c r="G18" s="190"/>
      <c r="H18" s="191"/>
      <c r="I18" s="190"/>
      <c r="J18" s="190"/>
      <c r="K18" s="190"/>
      <c r="L18" s="192"/>
      <c r="M18" s="193"/>
    </row>
    <row r="19" spans="2:13" ht="15.6" customHeight="1">
      <c r="B19" s="195"/>
      <c r="F19" s="189"/>
      <c r="G19" s="190"/>
      <c r="H19" s="191"/>
      <c r="I19" s="190"/>
      <c r="J19" s="190"/>
      <c r="K19" s="190"/>
      <c r="L19" s="192"/>
      <c r="M19" s="193"/>
    </row>
    <row r="20" spans="2:13" ht="15.6" customHeight="1">
      <c r="B20" s="195"/>
      <c r="F20" s="189"/>
      <c r="G20" s="190"/>
      <c r="H20" s="191"/>
      <c r="I20" s="190"/>
      <c r="J20" s="190"/>
      <c r="K20" s="190"/>
      <c r="L20" s="192"/>
      <c r="M20" s="193"/>
    </row>
    <row r="21" spans="2:13" ht="15.6" customHeight="1">
      <c r="B21" s="195"/>
      <c r="F21" s="189"/>
      <c r="G21" s="190"/>
      <c r="H21" s="191"/>
      <c r="I21" s="190"/>
      <c r="J21" s="190"/>
      <c r="K21" s="190"/>
      <c r="L21" s="192"/>
      <c r="M21" s="193"/>
    </row>
    <row r="22" spans="2:13" ht="15.6" customHeight="1">
      <c r="B22" s="195"/>
      <c r="F22" s="189"/>
      <c r="G22" s="190"/>
      <c r="H22" s="191"/>
      <c r="I22" s="190"/>
      <c r="J22" s="190"/>
      <c r="K22" s="190"/>
      <c r="L22" s="192"/>
      <c r="M22" s="193"/>
    </row>
    <row r="23" spans="2:13" ht="15.6" customHeight="1">
      <c r="B23" s="195"/>
      <c r="F23" s="189"/>
      <c r="G23" s="190"/>
      <c r="H23" s="191"/>
      <c r="I23" s="190"/>
      <c r="J23" s="190"/>
      <c r="K23" s="190"/>
      <c r="L23" s="192"/>
      <c r="M23" s="193"/>
    </row>
    <row r="24" spans="2:13" ht="15.6" customHeight="1">
      <c r="B24" s="195"/>
      <c r="F24" s="189"/>
      <c r="G24" s="190"/>
      <c r="H24" s="191"/>
      <c r="I24" s="190"/>
      <c r="J24" s="190"/>
      <c r="K24" s="190"/>
      <c r="L24" s="192"/>
      <c r="M24" s="193"/>
    </row>
    <row r="25" spans="2:13" ht="15.6" customHeight="1">
      <c r="B25" s="195"/>
      <c r="F25" s="189"/>
      <c r="G25" s="190"/>
      <c r="H25" s="191"/>
      <c r="I25" s="190"/>
      <c r="J25" s="190"/>
      <c r="K25" s="190"/>
      <c r="L25" s="192"/>
      <c r="M25" s="193"/>
    </row>
    <row r="26" spans="2:13" ht="15.6" customHeight="1">
      <c r="B26" s="195"/>
      <c r="F26" s="189"/>
      <c r="G26" s="190"/>
      <c r="H26" s="191"/>
      <c r="I26" s="190"/>
      <c r="J26" s="190"/>
      <c r="K26" s="190"/>
      <c r="L26" s="192"/>
      <c r="M26" s="193"/>
    </row>
    <row r="27" spans="2:13" ht="15.6" customHeight="1">
      <c r="B27" s="195"/>
      <c r="F27" s="189"/>
      <c r="G27" s="190"/>
      <c r="H27" s="191"/>
      <c r="I27" s="190"/>
      <c r="J27" s="190"/>
      <c r="K27" s="190"/>
      <c r="L27" s="192"/>
      <c r="M27" s="193"/>
    </row>
    <row r="28" spans="2:13" ht="15.6" customHeight="1">
      <c r="B28" s="195"/>
      <c r="F28" s="189"/>
      <c r="G28" s="190"/>
      <c r="H28" s="191"/>
      <c r="I28" s="190"/>
      <c r="J28" s="190"/>
      <c r="K28" s="190"/>
      <c r="L28" s="192"/>
      <c r="M28" s="193"/>
    </row>
    <row r="29" spans="2:13" ht="15.6" customHeight="1">
      <c r="B29" s="195"/>
      <c r="F29" s="189"/>
      <c r="G29" s="190"/>
      <c r="H29" s="191"/>
      <c r="I29" s="190"/>
      <c r="J29" s="190"/>
      <c r="K29" s="190"/>
      <c r="L29" s="192"/>
      <c r="M29" s="193"/>
    </row>
    <row r="30" spans="2:13" ht="15.6" customHeight="1">
      <c r="B30" s="195"/>
      <c r="F30" s="189"/>
      <c r="G30" s="190"/>
      <c r="H30" s="191"/>
      <c r="I30" s="190"/>
      <c r="J30" s="190"/>
      <c r="K30" s="190"/>
      <c r="L30" s="192"/>
      <c r="M30" s="193"/>
    </row>
    <row r="31" spans="2:13" ht="15.6" customHeight="1">
      <c r="B31" s="195"/>
      <c r="F31" s="189"/>
      <c r="G31" s="190"/>
      <c r="H31" s="191"/>
      <c r="I31" s="190"/>
      <c r="J31" s="190"/>
      <c r="K31" s="190"/>
      <c r="L31" s="192"/>
      <c r="M31" s="193"/>
    </row>
    <row r="32" spans="2:13" ht="15.6" customHeight="1">
      <c r="B32" s="195"/>
      <c r="F32" s="189"/>
      <c r="G32" s="190"/>
      <c r="H32" s="191"/>
      <c r="I32" s="190"/>
      <c r="J32" s="190"/>
      <c r="K32" s="190"/>
      <c r="L32" s="192"/>
      <c r="M32" s="193"/>
    </row>
    <row r="33" spans="2:13" ht="15.6" customHeight="1">
      <c r="B33" s="195"/>
      <c r="F33" s="189"/>
      <c r="G33" s="190"/>
      <c r="H33" s="191"/>
      <c r="I33" s="190"/>
      <c r="J33" s="190"/>
      <c r="K33" s="190"/>
      <c r="L33" s="192"/>
      <c r="M33" s="193"/>
    </row>
    <row r="34" spans="2:13" ht="15.6" customHeight="1">
      <c r="B34" s="195"/>
      <c r="F34" s="189"/>
      <c r="G34" s="190"/>
      <c r="H34" s="191"/>
      <c r="I34" s="190"/>
      <c r="J34" s="190"/>
      <c r="K34" s="190"/>
      <c r="L34" s="192"/>
      <c r="M34" s="193"/>
    </row>
    <row r="35" spans="2:13" ht="15.6" customHeight="1">
      <c r="B35" s="195"/>
      <c r="F35" s="189"/>
      <c r="G35" s="190"/>
      <c r="H35" s="191"/>
      <c r="I35" s="190"/>
      <c r="J35" s="190"/>
      <c r="K35" s="190"/>
      <c r="L35" s="192"/>
      <c r="M35" s="193"/>
    </row>
    <row r="36" spans="2:13" ht="15.6" customHeight="1">
      <c r="B36" s="195"/>
      <c r="F36" s="189"/>
      <c r="G36" s="190"/>
      <c r="H36" s="191"/>
      <c r="I36" s="190"/>
      <c r="J36" s="190"/>
      <c r="K36" s="190"/>
      <c r="L36" s="192"/>
      <c r="M36" s="193"/>
    </row>
    <row r="37" spans="2:13" ht="15.6" customHeight="1">
      <c r="B37" s="195"/>
      <c r="F37" s="189"/>
      <c r="G37" s="190"/>
      <c r="H37" s="191"/>
      <c r="I37" s="190"/>
      <c r="J37" s="190"/>
      <c r="K37" s="190"/>
      <c r="L37" s="192"/>
      <c r="M37" s="193"/>
    </row>
    <row r="38" spans="2:13" ht="15.6" customHeight="1">
      <c r="B38" s="195"/>
      <c r="F38" s="189"/>
      <c r="G38" s="190"/>
      <c r="H38" s="191"/>
      <c r="I38" s="190"/>
      <c r="J38" s="190"/>
      <c r="K38" s="190"/>
      <c r="L38" s="192"/>
      <c r="M38" s="193"/>
    </row>
    <row r="39" spans="2:13" ht="15.6" customHeight="1">
      <c r="B39" s="195"/>
      <c r="F39" s="189"/>
      <c r="G39" s="190"/>
      <c r="H39" s="191"/>
      <c r="I39" s="190"/>
      <c r="J39" s="190"/>
      <c r="K39" s="190"/>
      <c r="L39" s="192"/>
      <c r="M39" s="193"/>
    </row>
    <row r="40" spans="2:13" ht="15.6" customHeight="1">
      <c r="B40" s="195"/>
      <c r="F40" s="189"/>
      <c r="G40" s="190"/>
      <c r="H40" s="191"/>
      <c r="I40" s="190"/>
      <c r="J40" s="190"/>
      <c r="K40" s="190"/>
      <c r="L40" s="192"/>
      <c r="M40" s="193"/>
    </row>
    <row r="41" spans="2:13" ht="15.6" customHeight="1">
      <c r="B41" s="195"/>
      <c r="F41" s="189"/>
      <c r="G41" s="190"/>
      <c r="H41" s="191"/>
      <c r="I41" s="190"/>
      <c r="J41" s="190"/>
      <c r="K41" s="190"/>
      <c r="L41" s="192"/>
      <c r="M41" s="193"/>
    </row>
    <row r="42" spans="2:13" ht="15.6" customHeight="1">
      <c r="B42" s="195"/>
      <c r="F42" s="189"/>
      <c r="G42" s="190"/>
      <c r="H42" s="191"/>
      <c r="I42" s="190"/>
      <c r="J42" s="190"/>
      <c r="K42" s="190"/>
      <c r="L42" s="192"/>
      <c r="M42" s="193"/>
    </row>
    <row r="43" spans="2:13" ht="15.6" customHeight="1">
      <c r="B43" s="195"/>
      <c r="F43" s="189"/>
      <c r="G43" s="190"/>
      <c r="H43" s="191"/>
      <c r="I43" s="190"/>
      <c r="J43" s="190"/>
      <c r="K43" s="190"/>
      <c r="L43" s="192"/>
      <c r="M43" s="193"/>
    </row>
    <row r="44" spans="2:13" ht="15.6" customHeight="1">
      <c r="B44" s="195"/>
      <c r="F44" s="189"/>
      <c r="G44" s="190"/>
      <c r="H44" s="191"/>
      <c r="I44" s="190"/>
      <c r="J44" s="190"/>
      <c r="K44" s="190"/>
      <c r="L44" s="192"/>
      <c r="M44" s="193"/>
    </row>
    <row r="45" spans="2:13" ht="15.6" customHeight="1">
      <c r="B45" s="197"/>
      <c r="C45" s="198"/>
      <c r="D45" s="198"/>
      <c r="E45" s="198"/>
      <c r="F45" s="199"/>
      <c r="G45" s="200"/>
      <c r="H45" s="201"/>
      <c r="I45" s="200"/>
      <c r="J45" s="200"/>
      <c r="K45" s="200"/>
      <c r="L45" s="202"/>
      <c r="M45" s="203"/>
    </row>
    <row r="46" spans="2:13" ht="15.6" customHeight="1">
      <c r="B46" s="195"/>
      <c r="F46" s="189"/>
      <c r="G46" s="190"/>
      <c r="H46" s="191"/>
      <c r="I46" s="190"/>
      <c r="J46" s="190"/>
      <c r="K46" s="190"/>
      <c r="L46" s="192"/>
      <c r="M46" s="193"/>
    </row>
    <row r="47" spans="2:13" ht="15.6" customHeight="1">
      <c r="B47" s="195"/>
      <c r="F47" s="189"/>
      <c r="G47" s="190"/>
      <c r="H47" s="191"/>
      <c r="I47" s="190"/>
      <c r="J47" s="190"/>
      <c r="K47" s="190"/>
      <c r="L47" s="192"/>
      <c r="M47" s="193"/>
    </row>
    <row r="48" spans="2:13" ht="15.6" customHeight="1">
      <c r="B48" s="195"/>
      <c r="F48" s="189"/>
      <c r="G48" s="190"/>
      <c r="H48" s="191"/>
      <c r="I48" s="190"/>
      <c r="J48" s="190"/>
      <c r="K48" s="190"/>
      <c r="L48" s="192"/>
      <c r="M48" s="193"/>
    </row>
    <row r="49" spans="2:15" ht="15.6" customHeight="1">
      <c r="B49" s="195"/>
      <c r="F49" s="189"/>
      <c r="G49" s="190"/>
      <c r="H49" s="191"/>
      <c r="I49" s="190"/>
      <c r="J49" s="190"/>
      <c r="K49" s="190"/>
      <c r="L49" s="192"/>
      <c r="M49" s="193"/>
      <c r="O49" s="194"/>
    </row>
    <row r="50" spans="2:15" ht="15.6" customHeight="1">
      <c r="B50" s="195"/>
      <c r="F50" s="189"/>
      <c r="G50" s="190"/>
      <c r="H50" s="191"/>
      <c r="I50" s="190"/>
      <c r="J50" s="190"/>
      <c r="K50" s="190"/>
      <c r="L50" s="192"/>
      <c r="M50" s="193"/>
      <c r="O50" s="194"/>
    </row>
    <row r="51" spans="2:15" ht="15.6" customHeight="1">
      <c r="B51" s="195"/>
      <c r="F51" s="189"/>
      <c r="G51" s="190"/>
      <c r="H51" s="191"/>
      <c r="I51" s="190"/>
      <c r="J51" s="190"/>
      <c r="K51" s="190"/>
      <c r="L51" s="192"/>
      <c r="M51" s="193"/>
      <c r="O51" s="194"/>
    </row>
    <row r="52" spans="2:15" ht="15.6" customHeight="1">
      <c r="B52" s="197"/>
      <c r="C52" s="198"/>
      <c r="D52" s="198"/>
      <c r="E52" s="198"/>
      <c r="F52" s="199"/>
      <c r="G52" s="200"/>
      <c r="H52" s="201"/>
      <c r="I52" s="200"/>
      <c r="J52" s="200"/>
      <c r="K52" s="200"/>
      <c r="L52" s="202"/>
      <c r="M52" s="203"/>
      <c r="O52" s="194"/>
    </row>
    <row r="53" spans="2:15" ht="15.6" customHeight="1">
      <c r="B53" s="195"/>
      <c r="F53" s="189"/>
      <c r="G53" s="190"/>
      <c r="H53" s="191"/>
      <c r="I53" s="190"/>
      <c r="J53" s="190"/>
      <c r="K53" s="190"/>
      <c r="L53" s="192"/>
      <c r="M53" s="193"/>
      <c r="O53" s="194"/>
    </row>
    <row r="54" spans="2:15" ht="15.6" customHeight="1">
      <c r="B54" s="195"/>
      <c r="F54" s="189"/>
      <c r="G54" s="190"/>
      <c r="H54" s="191"/>
      <c r="I54" s="190"/>
      <c r="J54" s="190"/>
      <c r="K54" s="190"/>
      <c r="L54" s="192"/>
      <c r="M54" s="193"/>
      <c r="O54" s="194"/>
    </row>
    <row r="55" spans="2:15" ht="15.6" customHeight="1">
      <c r="B55" s="195"/>
      <c r="F55" s="189"/>
      <c r="G55" s="190"/>
      <c r="H55" s="191"/>
      <c r="I55" s="190"/>
      <c r="J55" s="190"/>
      <c r="K55" s="190"/>
      <c r="L55" s="192"/>
      <c r="M55" s="193"/>
      <c r="O55" s="194"/>
    </row>
    <row r="56" spans="2:15" ht="15.6" customHeight="1">
      <c r="B56" s="195"/>
      <c r="F56" s="189"/>
      <c r="G56" s="190"/>
      <c r="H56" s="191"/>
      <c r="I56" s="190"/>
      <c r="J56" s="190"/>
      <c r="K56" s="190"/>
      <c r="L56" s="192"/>
      <c r="M56" s="193"/>
      <c r="O56" s="194"/>
    </row>
    <row r="57" spans="2:15" ht="15.6" customHeight="1">
      <c r="B57" s="197"/>
      <c r="C57" s="198"/>
      <c r="D57" s="198"/>
      <c r="E57" s="198"/>
      <c r="F57" s="199"/>
      <c r="G57" s="200"/>
      <c r="H57" s="201"/>
      <c r="I57" s="200"/>
      <c r="J57" s="200"/>
      <c r="K57" s="200"/>
      <c r="L57" s="202"/>
      <c r="M57" s="203"/>
      <c r="O57" s="194"/>
    </row>
    <row r="58" spans="2:15" ht="15.6" customHeight="1">
      <c r="B58" s="195"/>
      <c r="F58" s="189"/>
      <c r="G58" s="190"/>
      <c r="H58" s="191"/>
      <c r="I58" s="190"/>
      <c r="J58" s="190"/>
      <c r="K58" s="190"/>
      <c r="L58" s="192"/>
      <c r="M58" s="193"/>
      <c r="O58" s="194"/>
    </row>
    <row r="59" spans="2:15" ht="15.6" customHeight="1">
      <c r="B59" s="195"/>
      <c r="F59" s="189"/>
      <c r="G59" s="190"/>
      <c r="H59" s="191"/>
      <c r="I59" s="190"/>
      <c r="J59" s="190"/>
      <c r="K59" s="190"/>
      <c r="L59" s="192"/>
      <c r="M59" s="193"/>
      <c r="O59" s="194"/>
    </row>
    <row r="60" spans="2:15" ht="15.6" customHeight="1">
      <c r="B60" s="195"/>
      <c r="F60" s="189"/>
      <c r="G60" s="190"/>
      <c r="H60" s="191"/>
      <c r="I60" s="190"/>
      <c r="J60" s="190"/>
      <c r="K60" s="190"/>
      <c r="L60" s="192"/>
      <c r="M60" s="193"/>
      <c r="O60" s="194"/>
    </row>
    <row r="61" spans="2:15" ht="15.6" customHeight="1">
      <c r="B61" s="195"/>
      <c r="F61" s="189"/>
      <c r="G61" s="190"/>
      <c r="H61" s="191"/>
      <c r="I61" s="190"/>
      <c r="J61" s="190"/>
      <c r="K61" s="190"/>
      <c r="L61" s="192"/>
      <c r="M61" s="193"/>
      <c r="O61" s="194"/>
    </row>
    <row r="62" spans="2:15">
      <c r="B62" s="396" t="s">
        <v>232</v>
      </c>
      <c r="C62" s="396"/>
      <c r="D62" s="396"/>
      <c r="E62" s="396"/>
      <c r="F62" s="396"/>
      <c r="G62" s="204">
        <f>SUM(G7:G61)</f>
        <v>0</v>
      </c>
      <c r="H62" s="204">
        <f>SUM(H7:H61)</f>
        <v>0</v>
      </c>
      <c r="I62" s="204">
        <f>SUM(I7:I61)</f>
        <v>0</v>
      </c>
      <c r="J62" s="204">
        <f>SUM(J7:J61)</f>
        <v>0</v>
      </c>
      <c r="K62" s="204">
        <f>SUM(K7:K61)</f>
        <v>0</v>
      </c>
      <c r="L62" s="205"/>
      <c r="M62" s="205"/>
      <c r="O62" s="206" t="b">
        <f>G62+I62=H62+J62</f>
        <v>1</v>
      </c>
    </row>
    <row r="63" spans="2:15">
      <c r="B63" s="207"/>
      <c r="C63" s="207"/>
      <c r="D63" s="207"/>
      <c r="E63" s="207"/>
      <c r="F63" s="207"/>
      <c r="G63" s="208"/>
      <c r="H63" s="208"/>
      <c r="I63" s="208"/>
      <c r="J63" s="208"/>
      <c r="K63" s="208" t="b">
        <f>FAR!I329-FAR!H329=K62</f>
        <v>1</v>
      </c>
      <c r="O63" s="206"/>
    </row>
    <row r="64" spans="2:15">
      <c r="G64" s="209"/>
      <c r="H64" s="209"/>
      <c r="I64" s="209"/>
      <c r="J64" s="209"/>
      <c r="K64" s="209"/>
      <c r="O64" s="206"/>
    </row>
    <row r="65" spans="6:11">
      <c r="F65" s="188" t="s">
        <v>233</v>
      </c>
      <c r="G65" s="188">
        <f>G62+I62</f>
        <v>0</v>
      </c>
      <c r="H65" s="188">
        <f>H62+J62</f>
        <v>0</v>
      </c>
      <c r="I65" s="209"/>
      <c r="J65" s="209"/>
      <c r="K65" s="209"/>
    </row>
    <row r="66" spans="6:11">
      <c r="F66" s="188" t="s">
        <v>234</v>
      </c>
      <c r="G66" s="188">
        <f>FAR!H202</f>
        <v>0</v>
      </c>
      <c r="H66" s="188">
        <f>FAR!I202</f>
        <v>0</v>
      </c>
    </row>
    <row r="67" spans="6:11">
      <c r="F67" s="188" t="s">
        <v>235</v>
      </c>
      <c r="G67" s="188">
        <f>G65-G66</f>
        <v>0</v>
      </c>
      <c r="H67" s="188">
        <f>H65-H66</f>
        <v>0</v>
      </c>
    </row>
  </sheetData>
  <mergeCells count="7">
    <mergeCell ref="L5:L6"/>
    <mergeCell ref="M5:M6"/>
    <mergeCell ref="B62:F62"/>
    <mergeCell ref="B5:F6"/>
    <mergeCell ref="G5:H5"/>
    <mergeCell ref="I5:J5"/>
    <mergeCell ref="K5:K6"/>
  </mergeCells>
  <phoneticPr fontId="3" type="noConversion"/>
  <pageMargins left="0.7" right="0.7" top="0.75" bottom="0.75" header="0.3" footer="0.3"/>
  <pageSetup paperSize="9" scale="75" fitToHeight="0" orientation="landscape" r:id="rId1"/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6" tint="-0.499984740745262"/>
    <pageSetUpPr fitToPage="1"/>
  </sheetPr>
  <dimension ref="A2:V525"/>
  <sheetViews>
    <sheetView showGridLines="0" topLeftCell="A315" zoomScale="70" zoomScaleNormal="70" zoomScaleSheetLayoutView="85" workbookViewId="0">
      <selection activeCell="H28" sqref="H28"/>
    </sheetView>
  </sheetViews>
  <sheetFormatPr defaultColWidth="9" defaultRowHeight="13.5" outlineLevelCol="1"/>
  <cols>
    <col min="1" max="1" width="11.875" style="10" customWidth="1"/>
    <col min="2" max="3" width="16.25" style="10" customWidth="1" outlineLevel="1"/>
    <col min="4" max="5" width="2" style="10" customWidth="1"/>
    <col min="6" max="6" width="26" style="10" customWidth="1"/>
    <col min="7" max="9" width="16.25" style="10" customWidth="1" outlineLevel="1"/>
    <col min="10" max="10" width="16.25" style="10" customWidth="1"/>
    <col min="11" max="13" width="17" style="10" customWidth="1"/>
    <col min="14" max="17" width="16.25" style="10" hidden="1" customWidth="1" outlineLevel="1"/>
    <col min="18" max="18" width="12.75" style="10" customWidth="1" collapsed="1"/>
    <col min="19" max="19" width="63" style="10" customWidth="1"/>
    <col min="20" max="20" width="40.75" style="10" customWidth="1"/>
    <col min="21" max="22" width="16.625" style="10" customWidth="1"/>
    <col min="23" max="23" width="25.25" style="29" customWidth="1"/>
    <col min="24" max="24" width="17.125" style="29" bestFit="1" customWidth="1"/>
    <col min="25" max="25" width="18.75" style="29" bestFit="1" customWidth="1"/>
    <col min="26" max="26" width="17.125" style="29" bestFit="1" customWidth="1"/>
    <col min="27" max="27" width="22" style="29" bestFit="1" customWidth="1"/>
    <col min="28" max="29" width="13.375" style="29" bestFit="1" customWidth="1"/>
    <col min="30" max="30" width="20.125" style="29" bestFit="1" customWidth="1"/>
    <col min="31" max="31" width="17.25" style="29" bestFit="1" customWidth="1"/>
    <col min="32" max="16384" width="9" style="29"/>
  </cols>
  <sheetData>
    <row r="2" spans="1:22" s="3" customFormat="1" ht="20.25">
      <c r="A2" s="1"/>
      <c r="D2" s="2" t="s">
        <v>138</v>
      </c>
      <c r="E2" s="1"/>
      <c r="F2" s="1"/>
      <c r="K2" s="4"/>
      <c r="L2" s="4"/>
      <c r="M2" s="4"/>
      <c r="N2" s="4"/>
      <c r="O2" s="1"/>
      <c r="P2" s="5"/>
      <c r="Q2" s="5"/>
      <c r="R2" s="5"/>
      <c r="S2" s="5"/>
      <c r="T2" s="5"/>
      <c r="U2" s="5"/>
      <c r="V2" s="5"/>
    </row>
    <row r="3" spans="1:22" s="9" customFormat="1" ht="21" thickBot="1">
      <c r="A3" s="3"/>
      <c r="B3" s="3"/>
      <c r="C3" s="3"/>
      <c r="D3" s="5"/>
      <c r="E3" s="5"/>
      <c r="F3" s="5"/>
      <c r="G3" s="7"/>
      <c r="H3" s="7"/>
      <c r="I3" s="7"/>
      <c r="J3" s="7"/>
      <c r="K3" s="8"/>
      <c r="L3" s="8"/>
      <c r="M3" s="8"/>
      <c r="N3" s="8"/>
      <c r="O3" s="5"/>
    </row>
    <row r="4" spans="1:22" s="14" customFormat="1" ht="21" thickBot="1">
      <c r="A4" s="3"/>
      <c r="B4" s="3"/>
      <c r="C4" s="3"/>
      <c r="D4" s="10"/>
      <c r="E4" s="10"/>
      <c r="F4" s="211" t="s">
        <v>126</v>
      </c>
      <c r="G4" s="212"/>
      <c r="H4" s="212"/>
      <c r="I4" s="213"/>
      <c r="L4" s="12"/>
      <c r="M4" s="13"/>
      <c r="N4" s="13"/>
      <c r="O4" s="13"/>
    </row>
    <row r="5" spans="1:22" s="14" customFormat="1" ht="21" thickBot="1">
      <c r="A5" s="3"/>
      <c r="B5" s="3"/>
      <c r="C5" s="3"/>
      <c r="D5" s="10"/>
      <c r="E5" s="10"/>
      <c r="F5" s="15" t="s">
        <v>127</v>
      </c>
      <c r="G5" s="383" t="s">
        <v>660</v>
      </c>
      <c r="H5" s="214"/>
      <c r="I5" s="215"/>
      <c r="K5" s="16" t="s">
        <v>128</v>
      </c>
      <c r="L5" s="16" t="s">
        <v>129</v>
      </c>
      <c r="M5" s="16" t="s">
        <v>130</v>
      </c>
      <c r="O5" s="14" t="s">
        <v>658</v>
      </c>
      <c r="P5" s="387"/>
      <c r="Q5" s="351" t="str">
        <f>IF(AND(ISNUMBER(P5),ISNUMBER(P6)),"","※ 기간(개월) 입력 필요 (Q5, Q6)")</f>
        <v>※ 기간(개월) 입력 필요 (Q5, Q6)</v>
      </c>
    </row>
    <row r="6" spans="1:22" s="14" customFormat="1" ht="21" thickBot="1">
      <c r="A6" s="3"/>
      <c r="B6" s="3"/>
      <c r="C6" s="3"/>
      <c r="D6" s="10"/>
      <c r="E6" s="10"/>
      <c r="F6" s="17" t="s">
        <v>131</v>
      </c>
      <c r="G6" s="219" t="s">
        <v>653</v>
      </c>
      <c r="H6" s="220"/>
      <c r="I6" s="221"/>
      <c r="K6" s="384"/>
      <c r="L6" s="384"/>
      <c r="M6" s="385"/>
      <c r="O6" s="14" t="s">
        <v>659</v>
      </c>
      <c r="P6" s="387"/>
    </row>
    <row r="7" spans="1:22" s="14" customFormat="1" ht="21" thickBot="1">
      <c r="A7" s="3"/>
      <c r="B7" s="3"/>
      <c r="C7" s="3"/>
      <c r="D7" s="10"/>
      <c r="E7" s="10"/>
      <c r="F7" s="18" t="s">
        <v>132</v>
      </c>
      <c r="G7" s="386"/>
      <c r="H7" s="220"/>
      <c r="I7" s="221"/>
      <c r="K7" s="19" t="s">
        <v>133</v>
      </c>
      <c r="L7" s="20" t="s">
        <v>134</v>
      </c>
      <c r="M7" s="21" t="s">
        <v>135</v>
      </c>
    </row>
    <row r="8" spans="1:22" s="14" customFormat="1" ht="21" thickBot="1">
      <c r="A8" s="3"/>
      <c r="B8" s="3"/>
      <c r="C8" s="3"/>
      <c r="D8" s="10"/>
      <c r="E8" s="10"/>
      <c r="F8" s="22" t="s">
        <v>136</v>
      </c>
      <c r="G8" s="216"/>
      <c r="H8" s="217"/>
      <c r="I8" s="218"/>
      <c r="K8" s="23">
        <f>ROUND(G207*0.5%,-6)</f>
        <v>0</v>
      </c>
      <c r="L8" s="23">
        <f>K8*75%</f>
        <v>0</v>
      </c>
      <c r="M8" s="24" t="s">
        <v>137</v>
      </c>
    </row>
    <row r="9" spans="1:22" s="14" customFormat="1" ht="20.25">
      <c r="A9" s="3"/>
      <c r="B9" s="3"/>
      <c r="C9" s="3"/>
      <c r="D9" s="10"/>
      <c r="E9" s="10"/>
      <c r="F9" s="25"/>
      <c r="G9" s="26"/>
      <c r="H9" s="26"/>
      <c r="I9" s="26"/>
      <c r="J9" s="26"/>
      <c r="K9" s="27"/>
      <c r="L9" s="349"/>
      <c r="M9" s="28"/>
      <c r="N9" s="27"/>
    </row>
    <row r="10" spans="1:22">
      <c r="D10" s="10" t="s">
        <v>9</v>
      </c>
      <c r="J10" s="29"/>
      <c r="T10" s="14"/>
    </row>
    <row r="11" spans="1:22">
      <c r="B11" s="31"/>
      <c r="C11" s="31"/>
      <c r="D11" s="30"/>
      <c r="E11" s="30"/>
      <c r="F11" s="30"/>
      <c r="G11" s="31" t="s">
        <v>334</v>
      </c>
      <c r="H11" s="31" t="s">
        <v>245</v>
      </c>
      <c r="I11" s="31" t="s">
        <v>246</v>
      </c>
      <c r="J11" s="31" t="s">
        <v>247</v>
      </c>
      <c r="K11" s="31" t="s">
        <v>113</v>
      </c>
      <c r="L11" s="411" t="s">
        <v>1</v>
      </c>
      <c r="M11" s="412"/>
      <c r="N11" s="32" t="s">
        <v>118</v>
      </c>
      <c r="O11" s="32" t="s">
        <v>119</v>
      </c>
      <c r="P11" s="408" t="s">
        <v>248</v>
      </c>
      <c r="Q11" s="409"/>
      <c r="R11" s="410"/>
      <c r="S11" s="323" t="s">
        <v>4</v>
      </c>
      <c r="T11" s="406"/>
      <c r="U11" s="33"/>
      <c r="V11" s="34"/>
    </row>
    <row r="12" spans="1:22">
      <c r="B12" s="36"/>
      <c r="C12" s="36"/>
      <c r="D12" s="35"/>
      <c r="E12" s="35"/>
      <c r="F12" s="35"/>
      <c r="G12" s="374"/>
      <c r="H12" s="36"/>
      <c r="I12" s="36"/>
      <c r="J12" s="36">
        <f>G12</f>
        <v>0</v>
      </c>
      <c r="K12" s="374"/>
      <c r="L12" s="37" t="s">
        <v>2</v>
      </c>
      <c r="M12" s="38" t="s">
        <v>0</v>
      </c>
      <c r="N12" s="39">
        <f>K8</f>
        <v>0</v>
      </c>
      <c r="O12" s="39">
        <f>N12*75%</f>
        <v>0</v>
      </c>
      <c r="P12" s="40" t="s">
        <v>121</v>
      </c>
      <c r="Q12" s="40" t="s">
        <v>122</v>
      </c>
      <c r="R12" s="41" t="s">
        <v>249</v>
      </c>
      <c r="S12" s="42"/>
      <c r="T12" s="406"/>
      <c r="U12" s="131"/>
      <c r="V12" s="34"/>
    </row>
    <row r="13" spans="1:22">
      <c r="A13" s="10">
        <v>1</v>
      </c>
      <c r="B13" s="329"/>
      <c r="C13" s="329"/>
      <c r="D13" s="327" t="s">
        <v>10</v>
      </c>
      <c r="E13" s="328"/>
      <c r="F13" s="328"/>
      <c r="G13" s="329"/>
      <c r="H13" s="329"/>
      <c r="I13" s="329"/>
      <c r="J13" s="329"/>
      <c r="K13" s="329"/>
      <c r="L13" s="329"/>
      <c r="M13" s="330"/>
      <c r="N13" s="330"/>
      <c r="O13" s="330"/>
      <c r="P13" s="330"/>
      <c r="Q13" s="330"/>
      <c r="R13" s="330"/>
      <c r="S13" s="331"/>
      <c r="T13" s="406"/>
      <c r="U13" s="43"/>
      <c r="V13" s="34"/>
    </row>
    <row r="14" spans="1:22" s="9" customFormat="1">
      <c r="A14" s="5">
        <v>1</v>
      </c>
      <c r="B14" s="332" t="s">
        <v>110</v>
      </c>
      <c r="C14" s="332" t="s">
        <v>661</v>
      </c>
      <c r="D14" s="44" t="s">
        <v>355</v>
      </c>
      <c r="E14" s="45"/>
      <c r="F14" s="46"/>
      <c r="G14" s="332">
        <f>G15+G18+G28+G37+G40+G52</f>
        <v>0</v>
      </c>
      <c r="H14" s="332"/>
      <c r="I14" s="332"/>
      <c r="J14" s="332">
        <f>J15+J18+J28+J37+J40+J52</f>
        <v>0</v>
      </c>
      <c r="K14" s="332">
        <f>K15+K18+K28+K37+K40+K52</f>
        <v>0</v>
      </c>
      <c r="L14" s="332">
        <f>L15+L18+L28+L37+L40+L52</f>
        <v>0</v>
      </c>
      <c r="M14" s="333" t="e">
        <f>L14/K14</f>
        <v>#DIV/0!</v>
      </c>
      <c r="N14" s="47"/>
      <c r="O14" s="47"/>
      <c r="P14" s="66"/>
      <c r="Q14" s="66"/>
      <c r="R14" s="66"/>
      <c r="S14" s="90"/>
      <c r="T14" s="313"/>
      <c r="U14" s="112"/>
      <c r="V14" s="114"/>
    </row>
    <row r="15" spans="1:22" s="9" customFormat="1">
      <c r="A15" s="5"/>
      <c r="B15" s="334"/>
      <c r="C15" s="334"/>
      <c r="D15" s="44"/>
      <c r="E15" s="45" t="s">
        <v>356</v>
      </c>
      <c r="F15" s="46"/>
      <c r="G15" s="334">
        <f>SUM(G16:G17)</f>
        <v>0</v>
      </c>
      <c r="H15" s="334"/>
      <c r="I15" s="334"/>
      <c r="J15" s="334">
        <f t="shared" ref="J15:L15" si="0">SUM(J16:J17)</f>
        <v>0</v>
      </c>
      <c r="K15" s="334">
        <f t="shared" si="0"/>
        <v>0</v>
      </c>
      <c r="L15" s="334">
        <f t="shared" si="0"/>
        <v>0</v>
      </c>
      <c r="M15" s="335" t="e">
        <f>L15/K15</f>
        <v>#DIV/0!</v>
      </c>
      <c r="N15" s="47"/>
      <c r="O15" s="47"/>
      <c r="P15" s="66"/>
      <c r="Q15" s="66"/>
      <c r="R15" s="66"/>
      <c r="S15" s="324"/>
      <c r="T15" s="303"/>
      <c r="U15" s="112"/>
      <c r="V15" s="114"/>
    </row>
    <row r="16" spans="1:22">
      <c r="A16" s="10">
        <v>1</v>
      </c>
      <c r="B16" s="54"/>
      <c r="C16" s="54" t="s">
        <v>555</v>
      </c>
      <c r="D16" s="50"/>
      <c r="E16" s="52"/>
      <c r="F16" s="53" t="s">
        <v>357</v>
      </c>
      <c r="G16" s="356"/>
      <c r="H16" s="356"/>
      <c r="I16" s="356"/>
      <c r="J16" s="54">
        <f>G16+H16-I16</f>
        <v>0</v>
      </c>
      <c r="K16" s="356"/>
      <c r="L16" s="55">
        <f>J16-K16</f>
        <v>0</v>
      </c>
      <c r="M16" s="56" t="e">
        <f t="shared" ref="M16:M28" si="1">L16/K16</f>
        <v>#DIV/0!</v>
      </c>
      <c r="N16" s="57" t="e">
        <f>G16/$N$12</f>
        <v>#DIV/0!</v>
      </c>
      <c r="O16" s="57" t="e">
        <f>G16/$O$12</f>
        <v>#DIV/0!</v>
      </c>
      <c r="P16" s="58" t="e">
        <f>IF(ABS(O16)&gt;100%,"O","X")</f>
        <v>#DIV/0!</v>
      </c>
      <c r="Q16" s="357"/>
      <c r="R16" s="59" t="e">
        <f>IF(P16="O","O",IF(Q16="O","O","X"))</f>
        <v>#DIV/0!</v>
      </c>
      <c r="S16" s="130"/>
      <c r="T16" s="274"/>
      <c r="U16" s="48"/>
      <c r="V16" s="49"/>
    </row>
    <row r="17" spans="1:22">
      <c r="B17" s="55"/>
      <c r="C17" s="55" t="s">
        <v>555</v>
      </c>
      <c r="D17" s="50"/>
      <c r="E17" s="52"/>
      <c r="F17" s="53" t="s">
        <v>358</v>
      </c>
      <c r="G17" s="358"/>
      <c r="H17" s="358"/>
      <c r="I17" s="358"/>
      <c r="J17" s="55">
        <f>G17+H17-I17</f>
        <v>0</v>
      </c>
      <c r="K17" s="358"/>
      <c r="L17" s="55">
        <f t="shared" ref="L17" si="2">J17-K17</f>
        <v>0</v>
      </c>
      <c r="M17" s="56" t="e">
        <f t="shared" ref="M17" si="3">L17/K17</f>
        <v>#DIV/0!</v>
      </c>
      <c r="N17" s="56" t="e">
        <f>G17/$N$12</f>
        <v>#DIV/0!</v>
      </c>
      <c r="O17" s="56" t="e">
        <f>G17/$O$12</f>
        <v>#DIV/0!</v>
      </c>
      <c r="P17" s="305" t="e">
        <f t="shared" ref="P17" si="4">IF(ABS(O17)&gt;100%,"O","X")</f>
        <v>#DIV/0!</v>
      </c>
      <c r="Q17" s="359"/>
      <c r="R17" s="305" t="e">
        <f t="shared" ref="R17" si="5">IF(P17="O","O",IF(Q17="O","O","X"))</f>
        <v>#DIV/0!</v>
      </c>
      <c r="S17" s="94"/>
      <c r="T17" s="61"/>
      <c r="U17" s="60"/>
      <c r="V17" s="49"/>
    </row>
    <row r="18" spans="1:22" s="9" customFormat="1">
      <c r="A18" s="5"/>
      <c r="B18" s="334"/>
      <c r="C18" s="334"/>
      <c r="D18" s="44"/>
      <c r="E18" s="45" t="s">
        <v>359</v>
      </c>
      <c r="F18" s="64"/>
      <c r="G18" s="334">
        <f>SUM(G19:G27)</f>
        <v>0</v>
      </c>
      <c r="H18" s="334"/>
      <c r="I18" s="334"/>
      <c r="J18" s="334">
        <f t="shared" ref="J18:L18" si="6">SUM(J19:J27)</f>
        <v>0</v>
      </c>
      <c r="K18" s="334">
        <f t="shared" si="6"/>
        <v>0</v>
      </c>
      <c r="L18" s="334">
        <f t="shared" si="6"/>
        <v>0</v>
      </c>
      <c r="M18" s="335" t="e">
        <f t="shared" si="1"/>
        <v>#DIV/0!</v>
      </c>
      <c r="N18" s="47"/>
      <c r="O18" s="47"/>
      <c r="P18" s="66"/>
      <c r="Q18" s="66"/>
      <c r="R18" s="66"/>
      <c r="S18" s="90"/>
      <c r="T18" s="122"/>
      <c r="U18" s="304"/>
      <c r="V18" s="114"/>
    </row>
    <row r="19" spans="1:22">
      <c r="B19" s="55"/>
      <c r="C19" s="55" t="s">
        <v>514</v>
      </c>
      <c r="D19" s="50"/>
      <c r="E19" s="52"/>
      <c r="F19" s="53" t="s">
        <v>207</v>
      </c>
      <c r="G19" s="358"/>
      <c r="H19" s="358"/>
      <c r="I19" s="358"/>
      <c r="J19" s="54">
        <f t="shared" ref="J19:J27" si="7">G19+H19-I19</f>
        <v>0</v>
      </c>
      <c r="K19" s="358"/>
      <c r="L19" s="55">
        <f t="shared" ref="L19:L27" si="8">J19-K19</f>
        <v>0</v>
      </c>
      <c r="M19" s="56" t="e">
        <f t="shared" ref="M19:M27" si="9">L19/K19</f>
        <v>#DIV/0!</v>
      </c>
      <c r="N19" s="57" t="e">
        <f t="shared" ref="N19:N50" si="10">G19/$N$12</f>
        <v>#DIV/0!</v>
      </c>
      <c r="O19" s="57" t="e">
        <f t="shared" ref="O19:O50" si="11">G19/$O$12</f>
        <v>#DIV/0!</v>
      </c>
      <c r="P19" s="58" t="e">
        <f t="shared" ref="P19:P27" si="12">IF(ABS(O19)&gt;100%,"O","X")</f>
        <v>#DIV/0!</v>
      </c>
      <c r="Q19" s="357"/>
      <c r="R19" s="59" t="e">
        <f t="shared" ref="R19:R27" si="13">IF(P19="O","O",IF(Q19="O","O","X"))</f>
        <v>#DIV/0!</v>
      </c>
      <c r="S19" s="337"/>
      <c r="T19" s="276"/>
      <c r="U19" s="132"/>
      <c r="V19" s="49"/>
    </row>
    <row r="20" spans="1:22">
      <c r="B20" s="55"/>
      <c r="C20" s="55" t="s">
        <v>513</v>
      </c>
      <c r="D20" s="50"/>
      <c r="E20" s="52"/>
      <c r="F20" s="53" t="s">
        <v>326</v>
      </c>
      <c r="G20" s="358"/>
      <c r="H20" s="358"/>
      <c r="I20" s="358"/>
      <c r="J20" s="54">
        <f t="shared" si="7"/>
        <v>0</v>
      </c>
      <c r="K20" s="358"/>
      <c r="L20" s="55">
        <f t="shared" si="8"/>
        <v>0</v>
      </c>
      <c r="M20" s="56" t="e">
        <f t="shared" si="9"/>
        <v>#DIV/0!</v>
      </c>
      <c r="N20" s="57" t="e">
        <f t="shared" si="10"/>
        <v>#DIV/0!</v>
      </c>
      <c r="O20" s="57" t="e">
        <f t="shared" si="11"/>
        <v>#DIV/0!</v>
      </c>
      <c r="P20" s="58" t="e">
        <f t="shared" si="12"/>
        <v>#DIV/0!</v>
      </c>
      <c r="Q20" s="357"/>
      <c r="R20" s="59" t="e">
        <f t="shared" si="13"/>
        <v>#DIV/0!</v>
      </c>
      <c r="S20" s="130"/>
      <c r="T20" s="276"/>
      <c r="U20" s="132"/>
      <c r="V20" s="61"/>
    </row>
    <row r="21" spans="1:22">
      <c r="B21" s="55"/>
      <c r="C21" s="55" t="s">
        <v>513</v>
      </c>
      <c r="D21" s="50"/>
      <c r="E21" s="52"/>
      <c r="F21" s="53" t="s">
        <v>3</v>
      </c>
      <c r="G21" s="358"/>
      <c r="H21" s="358"/>
      <c r="I21" s="358"/>
      <c r="J21" s="54">
        <f t="shared" si="7"/>
        <v>0</v>
      </c>
      <c r="K21" s="358"/>
      <c r="L21" s="55">
        <f t="shared" si="8"/>
        <v>0</v>
      </c>
      <c r="M21" s="56" t="e">
        <f t="shared" si="9"/>
        <v>#DIV/0!</v>
      </c>
      <c r="N21" s="57" t="e">
        <f t="shared" si="10"/>
        <v>#DIV/0!</v>
      </c>
      <c r="O21" s="57" t="e">
        <f t="shared" si="11"/>
        <v>#DIV/0!</v>
      </c>
      <c r="P21" s="58" t="e">
        <f t="shared" si="12"/>
        <v>#DIV/0!</v>
      </c>
      <c r="Q21" s="357"/>
      <c r="R21" s="59" t="e">
        <f t="shared" si="13"/>
        <v>#DIV/0!</v>
      </c>
      <c r="S21" s="338"/>
      <c r="T21" s="277"/>
      <c r="U21" s="48"/>
      <c r="V21" s="61"/>
    </row>
    <row r="22" spans="1:22">
      <c r="A22" s="10">
        <v>1</v>
      </c>
      <c r="B22" s="55"/>
      <c r="C22" s="55" t="s">
        <v>513</v>
      </c>
      <c r="D22" s="50"/>
      <c r="E22" s="52"/>
      <c r="F22" s="53" t="s">
        <v>326</v>
      </c>
      <c r="G22" s="358"/>
      <c r="H22" s="358"/>
      <c r="I22" s="358"/>
      <c r="J22" s="54">
        <f t="shared" si="7"/>
        <v>0</v>
      </c>
      <c r="K22" s="358"/>
      <c r="L22" s="55">
        <f t="shared" si="8"/>
        <v>0</v>
      </c>
      <c r="M22" s="56" t="e">
        <f t="shared" si="9"/>
        <v>#DIV/0!</v>
      </c>
      <c r="N22" s="57" t="e">
        <f t="shared" si="10"/>
        <v>#DIV/0!</v>
      </c>
      <c r="O22" s="57" t="e">
        <f t="shared" si="11"/>
        <v>#DIV/0!</v>
      </c>
      <c r="P22" s="58" t="e">
        <f t="shared" si="12"/>
        <v>#DIV/0!</v>
      </c>
      <c r="Q22" s="357"/>
      <c r="R22" s="59" t="e">
        <f t="shared" si="13"/>
        <v>#DIV/0!</v>
      </c>
      <c r="S22" s="338"/>
      <c r="T22" s="277"/>
      <c r="U22" s="61"/>
      <c r="V22" s="62"/>
    </row>
    <row r="23" spans="1:22">
      <c r="B23" s="54"/>
      <c r="C23" s="54" t="s">
        <v>513</v>
      </c>
      <c r="D23" s="50"/>
      <c r="E23" s="52"/>
      <c r="F23" s="53" t="s">
        <v>360</v>
      </c>
      <c r="G23" s="356"/>
      <c r="H23" s="356"/>
      <c r="I23" s="356"/>
      <c r="J23" s="54">
        <f t="shared" si="7"/>
        <v>0</v>
      </c>
      <c r="K23" s="356"/>
      <c r="L23" s="54">
        <f t="shared" si="8"/>
        <v>0</v>
      </c>
      <c r="M23" s="56" t="e">
        <f t="shared" si="9"/>
        <v>#DIV/0!</v>
      </c>
      <c r="N23" s="56" t="e">
        <f t="shared" si="10"/>
        <v>#DIV/0!</v>
      </c>
      <c r="O23" s="56" t="e">
        <f t="shared" si="11"/>
        <v>#DIV/0!</v>
      </c>
      <c r="P23" s="305" t="e">
        <f t="shared" si="12"/>
        <v>#DIV/0!</v>
      </c>
      <c r="Q23" s="359"/>
      <c r="R23" s="305" t="e">
        <f t="shared" si="13"/>
        <v>#DIV/0!</v>
      </c>
      <c r="S23" s="94"/>
      <c r="T23" s="61"/>
      <c r="U23" s="61"/>
      <c r="V23" s="62"/>
    </row>
    <row r="24" spans="1:22">
      <c r="A24" s="10">
        <v>1</v>
      </c>
      <c r="B24" s="55"/>
      <c r="C24" s="55" t="s">
        <v>513</v>
      </c>
      <c r="D24" s="50"/>
      <c r="E24" s="52"/>
      <c r="F24" s="53" t="s">
        <v>56</v>
      </c>
      <c r="G24" s="358"/>
      <c r="H24" s="358"/>
      <c r="I24" s="358"/>
      <c r="J24" s="54">
        <f t="shared" si="7"/>
        <v>0</v>
      </c>
      <c r="K24" s="358"/>
      <c r="L24" s="55">
        <f t="shared" si="8"/>
        <v>0</v>
      </c>
      <c r="M24" s="56" t="e">
        <f t="shared" si="9"/>
        <v>#DIV/0!</v>
      </c>
      <c r="N24" s="57" t="e">
        <f t="shared" si="10"/>
        <v>#DIV/0!</v>
      </c>
      <c r="O24" s="57" t="e">
        <f t="shared" si="11"/>
        <v>#DIV/0!</v>
      </c>
      <c r="P24" s="58" t="e">
        <f t="shared" si="12"/>
        <v>#DIV/0!</v>
      </c>
      <c r="Q24" s="357"/>
      <c r="R24" s="59" t="e">
        <f t="shared" si="13"/>
        <v>#DIV/0!</v>
      </c>
      <c r="S24" s="133"/>
      <c r="T24" s="275"/>
      <c r="U24" s="48"/>
      <c r="V24" s="62"/>
    </row>
    <row r="25" spans="1:22">
      <c r="B25" s="55"/>
      <c r="C25" s="55" t="s">
        <v>513</v>
      </c>
      <c r="D25" s="50"/>
      <c r="E25" s="52"/>
      <c r="F25" s="53" t="s">
        <v>326</v>
      </c>
      <c r="G25" s="358"/>
      <c r="H25" s="358"/>
      <c r="I25" s="358"/>
      <c r="J25" s="54">
        <f t="shared" si="7"/>
        <v>0</v>
      </c>
      <c r="K25" s="358"/>
      <c r="L25" s="55">
        <f t="shared" si="8"/>
        <v>0</v>
      </c>
      <c r="M25" s="56" t="e">
        <f t="shared" si="9"/>
        <v>#DIV/0!</v>
      </c>
      <c r="N25" s="57" t="e">
        <f t="shared" si="10"/>
        <v>#DIV/0!</v>
      </c>
      <c r="O25" s="57" t="e">
        <f t="shared" si="11"/>
        <v>#DIV/0!</v>
      </c>
      <c r="P25" s="58" t="e">
        <f t="shared" si="12"/>
        <v>#DIV/0!</v>
      </c>
      <c r="Q25" s="357"/>
      <c r="R25" s="59" t="e">
        <f t="shared" si="13"/>
        <v>#DIV/0!</v>
      </c>
      <c r="S25" s="133"/>
      <c r="T25" s="275"/>
      <c r="U25" s="48"/>
      <c r="V25" s="62"/>
    </row>
    <row r="26" spans="1:22">
      <c r="B26" s="55"/>
      <c r="C26" s="55" t="s">
        <v>513</v>
      </c>
      <c r="D26" s="50"/>
      <c r="E26" s="52"/>
      <c r="F26" s="53" t="s">
        <v>361</v>
      </c>
      <c r="G26" s="358"/>
      <c r="H26" s="358"/>
      <c r="I26" s="358"/>
      <c r="J26" s="54">
        <f t="shared" si="7"/>
        <v>0</v>
      </c>
      <c r="K26" s="358"/>
      <c r="L26" s="55">
        <f t="shared" si="8"/>
        <v>0</v>
      </c>
      <c r="M26" s="56" t="e">
        <f t="shared" si="9"/>
        <v>#DIV/0!</v>
      </c>
      <c r="N26" s="57" t="e">
        <f t="shared" si="10"/>
        <v>#DIV/0!</v>
      </c>
      <c r="O26" s="57" t="e">
        <f t="shared" si="11"/>
        <v>#DIV/0!</v>
      </c>
      <c r="P26" s="58" t="e">
        <f t="shared" si="12"/>
        <v>#DIV/0!</v>
      </c>
      <c r="Q26" s="357"/>
      <c r="R26" s="59" t="e">
        <f t="shared" si="13"/>
        <v>#DIV/0!</v>
      </c>
      <c r="S26" s="94"/>
      <c r="T26" s="61"/>
      <c r="U26" s="48"/>
      <c r="V26" s="62"/>
    </row>
    <row r="27" spans="1:22">
      <c r="B27" s="55"/>
      <c r="C27" s="55" t="s">
        <v>513</v>
      </c>
      <c r="D27" s="50"/>
      <c r="E27" s="52"/>
      <c r="F27" s="53" t="s">
        <v>326</v>
      </c>
      <c r="G27" s="358"/>
      <c r="H27" s="358"/>
      <c r="I27" s="358"/>
      <c r="J27" s="55">
        <f t="shared" si="7"/>
        <v>0</v>
      </c>
      <c r="K27" s="358"/>
      <c r="L27" s="55">
        <f t="shared" si="8"/>
        <v>0</v>
      </c>
      <c r="M27" s="56" t="e">
        <f t="shared" si="9"/>
        <v>#DIV/0!</v>
      </c>
      <c r="N27" s="56" t="e">
        <f t="shared" si="10"/>
        <v>#DIV/0!</v>
      </c>
      <c r="O27" s="56" t="e">
        <f t="shared" si="11"/>
        <v>#DIV/0!</v>
      </c>
      <c r="P27" s="305" t="e">
        <f t="shared" si="12"/>
        <v>#DIV/0!</v>
      </c>
      <c r="Q27" s="359"/>
      <c r="R27" s="305" t="e">
        <f t="shared" si="13"/>
        <v>#DIV/0!</v>
      </c>
      <c r="S27" s="94"/>
      <c r="T27" s="61"/>
      <c r="U27" s="48"/>
      <c r="V27" s="63"/>
    </row>
    <row r="28" spans="1:22" s="9" customFormat="1">
      <c r="A28" s="5"/>
      <c r="B28" s="334"/>
      <c r="C28" s="334"/>
      <c r="D28" s="44"/>
      <c r="E28" s="45" t="s">
        <v>362</v>
      </c>
      <c r="F28" s="64"/>
      <c r="G28" s="334">
        <f>SUM(G29:G36)</f>
        <v>0</v>
      </c>
      <c r="H28" s="334"/>
      <c r="I28" s="334"/>
      <c r="J28" s="334">
        <f t="shared" ref="J28:L28" si="14">SUM(J29:J36)</f>
        <v>0</v>
      </c>
      <c r="K28" s="334">
        <f t="shared" si="14"/>
        <v>0</v>
      </c>
      <c r="L28" s="334">
        <f t="shared" si="14"/>
        <v>0</v>
      </c>
      <c r="M28" s="335" t="e">
        <f t="shared" si="1"/>
        <v>#DIV/0!</v>
      </c>
      <c r="N28" s="299" t="e">
        <f t="shared" si="10"/>
        <v>#DIV/0!</v>
      </c>
      <c r="O28" s="299" t="e">
        <f t="shared" si="11"/>
        <v>#DIV/0!</v>
      </c>
      <c r="P28" s="300" t="e">
        <f t="shared" ref="P28:P36" si="15">IF(ABS(O28)&gt;100%,"O","X")</f>
        <v>#DIV/0!</v>
      </c>
      <c r="Q28" s="306"/>
      <c r="R28" s="301" t="e">
        <f t="shared" ref="R28:R36" si="16">IF(P28="O","O",IF(Q28="O","O","X"))</f>
        <v>#DIV/0!</v>
      </c>
      <c r="S28" s="339"/>
      <c r="T28" s="307"/>
      <c r="U28" s="308"/>
      <c r="V28" s="309"/>
    </row>
    <row r="29" spans="1:22">
      <c r="B29" s="55"/>
      <c r="C29" s="55" t="s">
        <v>518</v>
      </c>
      <c r="D29" s="50"/>
      <c r="E29" s="52"/>
      <c r="F29" s="53" t="s">
        <v>11</v>
      </c>
      <c r="G29" s="358"/>
      <c r="H29" s="358"/>
      <c r="I29" s="358"/>
      <c r="J29" s="54">
        <f t="shared" ref="J29:J36" si="17">G29+H29-I29</f>
        <v>0</v>
      </c>
      <c r="K29" s="358"/>
      <c r="L29" s="55">
        <f t="shared" ref="L29:L36" si="18">J29-K29</f>
        <v>0</v>
      </c>
      <c r="M29" s="56" t="e">
        <f t="shared" ref="M29:M36" si="19">L29/K29</f>
        <v>#DIV/0!</v>
      </c>
      <c r="N29" s="57" t="e">
        <f t="shared" si="10"/>
        <v>#DIV/0!</v>
      </c>
      <c r="O29" s="57" t="e">
        <f t="shared" si="11"/>
        <v>#DIV/0!</v>
      </c>
      <c r="P29" s="58" t="e">
        <f t="shared" si="15"/>
        <v>#DIV/0!</v>
      </c>
      <c r="Q29" s="357"/>
      <c r="R29" s="59" t="e">
        <f t="shared" si="16"/>
        <v>#DIV/0!</v>
      </c>
      <c r="S29" s="340"/>
      <c r="T29" s="62"/>
      <c r="U29" s="48"/>
      <c r="V29" s="63"/>
    </row>
    <row r="30" spans="1:22">
      <c r="A30" s="10">
        <v>1</v>
      </c>
      <c r="B30" s="55"/>
      <c r="C30" s="55" t="s">
        <v>63</v>
      </c>
      <c r="D30" s="50"/>
      <c r="E30" s="52"/>
      <c r="F30" s="53" t="s">
        <v>326</v>
      </c>
      <c r="G30" s="358"/>
      <c r="H30" s="358"/>
      <c r="I30" s="358"/>
      <c r="J30" s="54">
        <f t="shared" si="17"/>
        <v>0</v>
      </c>
      <c r="K30" s="358"/>
      <c r="L30" s="55">
        <f t="shared" si="18"/>
        <v>0</v>
      </c>
      <c r="M30" s="56" t="e">
        <f t="shared" si="19"/>
        <v>#DIV/0!</v>
      </c>
      <c r="N30" s="57" t="e">
        <f t="shared" si="10"/>
        <v>#DIV/0!</v>
      </c>
      <c r="O30" s="57" t="e">
        <f t="shared" si="11"/>
        <v>#DIV/0!</v>
      </c>
      <c r="P30" s="58" t="e">
        <f t="shared" si="15"/>
        <v>#DIV/0!</v>
      </c>
      <c r="Q30" s="357"/>
      <c r="R30" s="59" t="e">
        <f t="shared" si="16"/>
        <v>#DIV/0!</v>
      </c>
      <c r="S30" s="340"/>
      <c r="T30" s="278"/>
      <c r="U30" s="48"/>
      <c r="V30" s="49"/>
    </row>
    <row r="31" spans="1:22">
      <c r="B31" s="55"/>
      <c r="C31" s="55" t="s">
        <v>63</v>
      </c>
      <c r="D31" s="50"/>
      <c r="E31" s="52"/>
      <c r="F31" s="53" t="s">
        <v>363</v>
      </c>
      <c r="G31" s="358"/>
      <c r="H31" s="358"/>
      <c r="I31" s="358"/>
      <c r="J31" s="54">
        <f t="shared" si="17"/>
        <v>0</v>
      </c>
      <c r="K31" s="358"/>
      <c r="L31" s="55">
        <f t="shared" si="18"/>
        <v>0</v>
      </c>
      <c r="M31" s="56" t="e">
        <f t="shared" si="19"/>
        <v>#DIV/0!</v>
      </c>
      <c r="N31" s="57" t="e">
        <f t="shared" si="10"/>
        <v>#DIV/0!</v>
      </c>
      <c r="O31" s="57" t="e">
        <f t="shared" si="11"/>
        <v>#DIV/0!</v>
      </c>
      <c r="P31" s="58" t="e">
        <f t="shared" si="15"/>
        <v>#DIV/0!</v>
      </c>
      <c r="Q31" s="357"/>
      <c r="R31" s="59" t="e">
        <f t="shared" si="16"/>
        <v>#DIV/0!</v>
      </c>
      <c r="S31" s="340"/>
      <c r="T31" s="62"/>
      <c r="U31" s="48"/>
      <c r="V31" s="49"/>
    </row>
    <row r="32" spans="1:22">
      <c r="B32" s="55"/>
      <c r="C32" s="55" t="s">
        <v>519</v>
      </c>
      <c r="D32" s="50"/>
      <c r="E32" s="52"/>
      <c r="F32" s="53" t="s">
        <v>98</v>
      </c>
      <c r="G32" s="358"/>
      <c r="H32" s="358"/>
      <c r="I32" s="358"/>
      <c r="J32" s="54">
        <f t="shared" si="17"/>
        <v>0</v>
      </c>
      <c r="K32" s="358"/>
      <c r="L32" s="55">
        <f t="shared" si="18"/>
        <v>0</v>
      </c>
      <c r="M32" s="56" t="e">
        <f t="shared" si="19"/>
        <v>#DIV/0!</v>
      </c>
      <c r="N32" s="57" t="e">
        <f t="shared" si="10"/>
        <v>#DIV/0!</v>
      </c>
      <c r="O32" s="57" t="e">
        <f t="shared" si="11"/>
        <v>#DIV/0!</v>
      </c>
      <c r="P32" s="58" t="e">
        <f t="shared" si="15"/>
        <v>#DIV/0!</v>
      </c>
      <c r="Q32" s="357"/>
      <c r="R32" s="59" t="e">
        <f t="shared" si="16"/>
        <v>#DIV/0!</v>
      </c>
      <c r="S32" s="340"/>
      <c r="T32" s="62"/>
      <c r="U32" s="48"/>
      <c r="V32" s="49"/>
    </row>
    <row r="33" spans="1:22">
      <c r="A33" s="10">
        <v>1</v>
      </c>
      <c r="B33" s="55"/>
      <c r="C33" s="55" t="s">
        <v>63</v>
      </c>
      <c r="D33" s="50"/>
      <c r="E33" s="52"/>
      <c r="F33" s="53" t="s">
        <v>12</v>
      </c>
      <c r="G33" s="358"/>
      <c r="H33" s="358"/>
      <c r="I33" s="358"/>
      <c r="J33" s="55">
        <f t="shared" si="17"/>
        <v>0</v>
      </c>
      <c r="K33" s="358"/>
      <c r="L33" s="55">
        <f t="shared" si="18"/>
        <v>0</v>
      </c>
      <c r="M33" s="56" t="e">
        <f t="shared" si="19"/>
        <v>#DIV/0!</v>
      </c>
      <c r="N33" s="56" t="e">
        <f t="shared" si="10"/>
        <v>#DIV/0!</v>
      </c>
      <c r="O33" s="56" t="e">
        <f t="shared" si="11"/>
        <v>#DIV/0!</v>
      </c>
      <c r="P33" s="305" t="e">
        <f t="shared" si="15"/>
        <v>#DIV/0!</v>
      </c>
      <c r="Q33" s="359"/>
      <c r="R33" s="305" t="e">
        <f t="shared" si="16"/>
        <v>#DIV/0!</v>
      </c>
      <c r="S33" s="340"/>
      <c r="T33" s="62"/>
      <c r="U33" s="48"/>
      <c r="V33" s="49"/>
    </row>
    <row r="34" spans="1:22">
      <c r="B34" s="55"/>
      <c r="C34" s="55" t="s">
        <v>63</v>
      </c>
      <c r="D34" s="50"/>
      <c r="E34" s="52"/>
      <c r="F34" s="53" t="s">
        <v>364</v>
      </c>
      <c r="G34" s="358"/>
      <c r="H34" s="358"/>
      <c r="I34" s="358"/>
      <c r="J34" s="54">
        <f t="shared" si="17"/>
        <v>0</v>
      </c>
      <c r="K34" s="358"/>
      <c r="L34" s="55">
        <f t="shared" si="18"/>
        <v>0</v>
      </c>
      <c r="M34" s="56" t="e">
        <f t="shared" si="19"/>
        <v>#DIV/0!</v>
      </c>
      <c r="N34" s="57" t="e">
        <f t="shared" si="10"/>
        <v>#DIV/0!</v>
      </c>
      <c r="O34" s="57" t="e">
        <f t="shared" si="11"/>
        <v>#DIV/0!</v>
      </c>
      <c r="P34" s="58" t="e">
        <f t="shared" si="15"/>
        <v>#DIV/0!</v>
      </c>
      <c r="Q34" s="357"/>
      <c r="R34" s="59" t="e">
        <f t="shared" si="16"/>
        <v>#DIV/0!</v>
      </c>
      <c r="S34" s="340"/>
      <c r="T34" s="62"/>
      <c r="U34" s="48"/>
      <c r="V34" s="49"/>
    </row>
    <row r="35" spans="1:22">
      <c r="B35" s="55"/>
      <c r="C35" s="55" t="s">
        <v>63</v>
      </c>
      <c r="D35" s="50"/>
      <c r="E35" s="52"/>
      <c r="F35" s="73" t="s">
        <v>365</v>
      </c>
      <c r="G35" s="358"/>
      <c r="H35" s="358"/>
      <c r="I35" s="358"/>
      <c r="J35" s="55">
        <f t="shared" si="17"/>
        <v>0</v>
      </c>
      <c r="K35" s="358"/>
      <c r="L35" s="55">
        <f t="shared" si="18"/>
        <v>0</v>
      </c>
      <c r="M35" s="56" t="e">
        <f t="shared" si="19"/>
        <v>#DIV/0!</v>
      </c>
      <c r="N35" s="56" t="e">
        <f t="shared" si="10"/>
        <v>#DIV/0!</v>
      </c>
      <c r="O35" s="56" t="e">
        <f t="shared" si="11"/>
        <v>#DIV/0!</v>
      </c>
      <c r="P35" s="305" t="e">
        <f t="shared" si="15"/>
        <v>#DIV/0!</v>
      </c>
      <c r="Q35" s="359"/>
      <c r="R35" s="305" t="e">
        <f t="shared" si="16"/>
        <v>#DIV/0!</v>
      </c>
      <c r="S35" s="340"/>
      <c r="T35" s="61"/>
      <c r="U35" s="48"/>
      <c r="V35" s="49"/>
    </row>
    <row r="36" spans="1:22">
      <c r="A36" s="10">
        <v>1</v>
      </c>
      <c r="B36" s="55"/>
      <c r="C36" s="55" t="s">
        <v>63</v>
      </c>
      <c r="D36" s="50"/>
      <c r="E36" s="52"/>
      <c r="F36" s="53" t="s">
        <v>139</v>
      </c>
      <c r="G36" s="358"/>
      <c r="H36" s="358"/>
      <c r="I36" s="358"/>
      <c r="J36" s="54">
        <f t="shared" si="17"/>
        <v>0</v>
      </c>
      <c r="K36" s="358"/>
      <c r="L36" s="55">
        <f t="shared" si="18"/>
        <v>0</v>
      </c>
      <c r="M36" s="56" t="e">
        <f t="shared" si="19"/>
        <v>#DIV/0!</v>
      </c>
      <c r="N36" s="57" t="e">
        <f t="shared" si="10"/>
        <v>#DIV/0!</v>
      </c>
      <c r="O36" s="57" t="e">
        <f t="shared" si="11"/>
        <v>#DIV/0!</v>
      </c>
      <c r="P36" s="58" t="e">
        <f t="shared" si="15"/>
        <v>#DIV/0!</v>
      </c>
      <c r="Q36" s="357"/>
      <c r="R36" s="59" t="e">
        <f t="shared" si="16"/>
        <v>#DIV/0!</v>
      </c>
      <c r="S36" s="340"/>
      <c r="T36" s="277"/>
      <c r="U36" s="48"/>
      <c r="V36" s="67"/>
    </row>
    <row r="37" spans="1:22" s="9" customFormat="1">
      <c r="A37" s="5">
        <v>1</v>
      </c>
      <c r="B37" s="334"/>
      <c r="C37" s="334"/>
      <c r="D37" s="44"/>
      <c r="E37" s="45" t="s">
        <v>366</v>
      </c>
      <c r="F37" s="64"/>
      <c r="G37" s="334">
        <f>SUM(G38:G39)</f>
        <v>0</v>
      </c>
      <c r="H37" s="334"/>
      <c r="I37" s="334"/>
      <c r="J37" s="334">
        <f t="shared" ref="J37:L37" si="20">SUM(J38:J39)</f>
        <v>0</v>
      </c>
      <c r="K37" s="334">
        <f t="shared" si="20"/>
        <v>0</v>
      </c>
      <c r="L37" s="334">
        <f t="shared" si="20"/>
        <v>0</v>
      </c>
      <c r="M37" s="335" t="e">
        <f t="shared" ref="M37:M51" si="21">L37/K37</f>
        <v>#DIV/0!</v>
      </c>
      <c r="N37" s="299" t="e">
        <f t="shared" si="10"/>
        <v>#DIV/0!</v>
      </c>
      <c r="O37" s="299" t="e">
        <f t="shared" si="11"/>
        <v>#DIV/0!</v>
      </c>
      <c r="P37" s="300" t="e">
        <f t="shared" ref="P37:P51" si="22">IF(ABS(O37)&gt;100%,"O","X")</f>
        <v>#DIV/0!</v>
      </c>
      <c r="Q37" s="306" t="s">
        <v>151</v>
      </c>
      <c r="R37" s="301" t="e">
        <f t="shared" ref="R37:R51" si="23">IF(P37="O","O",IF(Q37="O","O","X"))</f>
        <v>#DIV/0!</v>
      </c>
      <c r="S37" s="340"/>
      <c r="T37" s="310"/>
      <c r="U37" s="112"/>
      <c r="V37" s="311"/>
    </row>
    <row r="38" spans="1:22">
      <c r="B38" s="55"/>
      <c r="C38" s="55" t="s">
        <v>516</v>
      </c>
      <c r="D38" s="50"/>
      <c r="E38" s="52"/>
      <c r="F38" s="53" t="s">
        <v>367</v>
      </c>
      <c r="G38" s="358"/>
      <c r="H38" s="358"/>
      <c r="I38" s="358"/>
      <c r="J38" s="54">
        <f>G38+H38-I38</f>
        <v>0</v>
      </c>
      <c r="K38" s="358"/>
      <c r="L38" s="55">
        <f t="shared" ref="L38:L51" si="24">J38-K38</f>
        <v>0</v>
      </c>
      <c r="M38" s="56" t="e">
        <f t="shared" si="21"/>
        <v>#DIV/0!</v>
      </c>
      <c r="N38" s="57" t="e">
        <f t="shared" si="10"/>
        <v>#DIV/0!</v>
      </c>
      <c r="O38" s="57" t="e">
        <f t="shared" si="11"/>
        <v>#DIV/0!</v>
      </c>
      <c r="P38" s="58" t="e">
        <f t="shared" si="22"/>
        <v>#DIV/0!</v>
      </c>
      <c r="Q38" s="357"/>
      <c r="R38" s="59" t="e">
        <f t="shared" si="23"/>
        <v>#DIV/0!</v>
      </c>
      <c r="S38" s="340"/>
      <c r="T38" s="63"/>
      <c r="U38" s="132"/>
      <c r="V38" s="68"/>
    </row>
    <row r="39" spans="1:22">
      <c r="A39" s="10">
        <v>1</v>
      </c>
      <c r="B39" s="55"/>
      <c r="C39" s="55" t="s">
        <v>515</v>
      </c>
      <c r="D39" s="50"/>
      <c r="E39" s="52"/>
      <c r="F39" s="53" t="s">
        <v>114</v>
      </c>
      <c r="G39" s="358"/>
      <c r="H39" s="358"/>
      <c r="I39" s="358"/>
      <c r="J39" s="54">
        <f>G39+H39-I39</f>
        <v>0</v>
      </c>
      <c r="K39" s="358"/>
      <c r="L39" s="55">
        <f t="shared" si="24"/>
        <v>0</v>
      </c>
      <c r="M39" s="56" t="e">
        <f t="shared" si="21"/>
        <v>#DIV/0!</v>
      </c>
      <c r="N39" s="57" t="e">
        <f t="shared" si="10"/>
        <v>#DIV/0!</v>
      </c>
      <c r="O39" s="57" t="e">
        <f t="shared" si="11"/>
        <v>#DIV/0!</v>
      </c>
      <c r="P39" s="58" t="e">
        <f t="shared" si="22"/>
        <v>#DIV/0!</v>
      </c>
      <c r="Q39" s="357"/>
      <c r="R39" s="59" t="e">
        <f t="shared" si="23"/>
        <v>#DIV/0!</v>
      </c>
      <c r="S39" s="340"/>
      <c r="T39" s="276"/>
      <c r="U39" s="61"/>
      <c r="V39" s="68"/>
    </row>
    <row r="40" spans="1:22" s="9" customFormat="1">
      <c r="A40" s="5"/>
      <c r="B40" s="334"/>
      <c r="C40" s="334"/>
      <c r="D40" s="44"/>
      <c r="E40" s="45" t="s">
        <v>368</v>
      </c>
      <c r="F40" s="64"/>
      <c r="G40" s="334">
        <f>SUM(G41:G51)</f>
        <v>0</v>
      </c>
      <c r="H40" s="334"/>
      <c r="I40" s="334"/>
      <c r="J40" s="334">
        <f t="shared" ref="J40:L40" si="25">SUM(J41:J51)</f>
        <v>0</v>
      </c>
      <c r="K40" s="334">
        <f t="shared" si="25"/>
        <v>0</v>
      </c>
      <c r="L40" s="334">
        <f t="shared" si="25"/>
        <v>0</v>
      </c>
      <c r="M40" s="335" t="e">
        <f t="shared" si="21"/>
        <v>#DIV/0!</v>
      </c>
      <c r="N40" s="299" t="e">
        <f t="shared" si="10"/>
        <v>#DIV/0!</v>
      </c>
      <c r="O40" s="299" t="e">
        <f t="shared" si="11"/>
        <v>#DIV/0!</v>
      </c>
      <c r="P40" s="300" t="e">
        <f t="shared" si="22"/>
        <v>#DIV/0!</v>
      </c>
      <c r="Q40" s="306"/>
      <c r="R40" s="301" t="e">
        <f t="shared" si="23"/>
        <v>#DIV/0!</v>
      </c>
      <c r="S40" s="340"/>
      <c r="T40" s="282"/>
      <c r="U40" s="112"/>
      <c r="V40" s="311"/>
    </row>
    <row r="41" spans="1:22">
      <c r="B41" s="55"/>
      <c r="C41" s="55" t="s">
        <v>517</v>
      </c>
      <c r="D41" s="50"/>
      <c r="E41" s="52"/>
      <c r="F41" s="53" t="s">
        <v>100</v>
      </c>
      <c r="G41" s="358"/>
      <c r="H41" s="358"/>
      <c r="I41" s="358"/>
      <c r="J41" s="54">
        <f t="shared" ref="J41:J49" si="26">G41+H41-I41</f>
        <v>0</v>
      </c>
      <c r="K41" s="358"/>
      <c r="L41" s="55">
        <f t="shared" si="24"/>
        <v>0</v>
      </c>
      <c r="M41" s="56" t="e">
        <f t="shared" si="21"/>
        <v>#DIV/0!</v>
      </c>
      <c r="N41" s="57" t="e">
        <f t="shared" si="10"/>
        <v>#DIV/0!</v>
      </c>
      <c r="O41" s="57" t="e">
        <f t="shared" si="11"/>
        <v>#DIV/0!</v>
      </c>
      <c r="P41" s="58" t="e">
        <f t="shared" si="22"/>
        <v>#DIV/0!</v>
      </c>
      <c r="Q41" s="357"/>
      <c r="R41" s="59" t="e">
        <f t="shared" si="23"/>
        <v>#DIV/0!</v>
      </c>
      <c r="S41" s="340"/>
      <c r="T41" s="277"/>
      <c r="U41" s="48"/>
      <c r="V41" s="68"/>
    </row>
    <row r="42" spans="1:22">
      <c r="B42" s="55"/>
      <c r="C42" s="55" t="s">
        <v>64</v>
      </c>
      <c r="D42" s="50"/>
      <c r="E42" s="52"/>
      <c r="F42" s="53" t="s">
        <v>328</v>
      </c>
      <c r="G42" s="358"/>
      <c r="H42" s="358"/>
      <c r="I42" s="358"/>
      <c r="J42" s="54">
        <f t="shared" si="26"/>
        <v>0</v>
      </c>
      <c r="K42" s="358"/>
      <c r="L42" s="55">
        <f t="shared" si="24"/>
        <v>0</v>
      </c>
      <c r="M42" s="56" t="e">
        <f t="shared" si="21"/>
        <v>#DIV/0!</v>
      </c>
      <c r="N42" s="57" t="e">
        <f t="shared" si="10"/>
        <v>#DIV/0!</v>
      </c>
      <c r="O42" s="57" t="e">
        <f t="shared" si="11"/>
        <v>#DIV/0!</v>
      </c>
      <c r="P42" s="58" t="e">
        <f t="shared" si="22"/>
        <v>#DIV/0!</v>
      </c>
      <c r="Q42" s="357"/>
      <c r="R42" s="59" t="e">
        <f t="shared" si="23"/>
        <v>#DIV/0!</v>
      </c>
      <c r="S42" s="340"/>
      <c r="T42" s="277"/>
      <c r="U42" s="48"/>
      <c r="V42" s="68"/>
    </row>
    <row r="43" spans="1:22">
      <c r="B43" s="55"/>
      <c r="C43" s="55" t="s">
        <v>64</v>
      </c>
      <c r="D43" s="50"/>
      <c r="E43" s="52"/>
      <c r="F43" s="53" t="s">
        <v>13</v>
      </c>
      <c r="G43" s="358"/>
      <c r="H43" s="358"/>
      <c r="I43" s="358"/>
      <c r="J43" s="54">
        <f t="shared" si="26"/>
        <v>0</v>
      </c>
      <c r="K43" s="358"/>
      <c r="L43" s="55">
        <f t="shared" si="24"/>
        <v>0</v>
      </c>
      <c r="M43" s="56" t="e">
        <f t="shared" si="21"/>
        <v>#DIV/0!</v>
      </c>
      <c r="N43" s="57" t="e">
        <f t="shared" si="10"/>
        <v>#DIV/0!</v>
      </c>
      <c r="O43" s="57" t="e">
        <f t="shared" si="11"/>
        <v>#DIV/0!</v>
      </c>
      <c r="P43" s="58" t="e">
        <f t="shared" si="22"/>
        <v>#DIV/0!</v>
      </c>
      <c r="Q43" s="357"/>
      <c r="R43" s="59" t="e">
        <f t="shared" si="23"/>
        <v>#DIV/0!</v>
      </c>
      <c r="S43" s="340"/>
      <c r="T43" s="276"/>
      <c r="U43" s="48"/>
      <c r="V43" s="70"/>
    </row>
    <row r="44" spans="1:22">
      <c r="A44" s="10">
        <v>1</v>
      </c>
      <c r="B44" s="55"/>
      <c r="C44" s="55" t="s">
        <v>64</v>
      </c>
      <c r="D44" s="50"/>
      <c r="E44" s="52"/>
      <c r="F44" s="53" t="s">
        <v>327</v>
      </c>
      <c r="G44" s="358"/>
      <c r="H44" s="358"/>
      <c r="I44" s="358"/>
      <c r="J44" s="55">
        <f t="shared" si="26"/>
        <v>0</v>
      </c>
      <c r="K44" s="358"/>
      <c r="L44" s="55">
        <f t="shared" si="24"/>
        <v>0</v>
      </c>
      <c r="M44" s="56" t="e">
        <f t="shared" si="21"/>
        <v>#DIV/0!</v>
      </c>
      <c r="N44" s="56" t="e">
        <f t="shared" si="10"/>
        <v>#DIV/0!</v>
      </c>
      <c r="O44" s="56" t="e">
        <f t="shared" si="11"/>
        <v>#DIV/0!</v>
      </c>
      <c r="P44" s="305" t="e">
        <f t="shared" si="22"/>
        <v>#DIV/0!</v>
      </c>
      <c r="Q44" s="359"/>
      <c r="R44" s="305" t="e">
        <f t="shared" si="23"/>
        <v>#DIV/0!</v>
      </c>
      <c r="S44" s="340"/>
      <c r="T44" s="62"/>
      <c r="U44" s="48"/>
      <c r="V44" s="49"/>
    </row>
    <row r="45" spans="1:22">
      <c r="B45" s="55"/>
      <c r="C45" s="55" t="s">
        <v>64</v>
      </c>
      <c r="D45" s="50"/>
      <c r="E45" s="52"/>
      <c r="F45" s="53" t="s">
        <v>15</v>
      </c>
      <c r="G45" s="358"/>
      <c r="H45" s="358"/>
      <c r="I45" s="358"/>
      <c r="J45" s="54">
        <f t="shared" si="26"/>
        <v>0</v>
      </c>
      <c r="K45" s="358"/>
      <c r="L45" s="55">
        <f t="shared" si="24"/>
        <v>0</v>
      </c>
      <c r="M45" s="56" t="e">
        <f t="shared" si="21"/>
        <v>#DIV/0!</v>
      </c>
      <c r="N45" s="57" t="e">
        <f t="shared" si="10"/>
        <v>#DIV/0!</v>
      </c>
      <c r="O45" s="57" t="e">
        <f t="shared" si="11"/>
        <v>#DIV/0!</v>
      </c>
      <c r="P45" s="58" t="e">
        <f t="shared" si="22"/>
        <v>#DIV/0!</v>
      </c>
      <c r="Q45" s="357"/>
      <c r="R45" s="59" t="e">
        <f t="shared" si="23"/>
        <v>#DIV/0!</v>
      </c>
      <c r="S45" s="340"/>
      <c r="T45" s="278"/>
      <c r="U45" s="48"/>
      <c r="V45" s="49"/>
    </row>
    <row r="46" spans="1:22">
      <c r="A46" s="10">
        <v>1</v>
      </c>
      <c r="B46" s="315"/>
      <c r="C46" s="315" t="s">
        <v>64</v>
      </c>
      <c r="D46" s="50"/>
      <c r="E46" s="52"/>
      <c r="F46" s="73" t="s">
        <v>330</v>
      </c>
      <c r="G46" s="360"/>
      <c r="H46" s="360"/>
      <c r="I46" s="360"/>
      <c r="J46" s="315">
        <f t="shared" si="26"/>
        <v>0</v>
      </c>
      <c r="K46" s="360"/>
      <c r="L46" s="315">
        <f t="shared" si="24"/>
        <v>0</v>
      </c>
      <c r="M46" s="56" t="e">
        <f t="shared" si="21"/>
        <v>#DIV/0!</v>
      </c>
      <c r="N46" s="56" t="e">
        <f t="shared" si="10"/>
        <v>#DIV/0!</v>
      </c>
      <c r="O46" s="56" t="e">
        <f t="shared" si="11"/>
        <v>#DIV/0!</v>
      </c>
      <c r="P46" s="305" t="e">
        <f t="shared" si="22"/>
        <v>#DIV/0!</v>
      </c>
      <c r="Q46" s="359"/>
      <c r="R46" s="305" t="e">
        <f t="shared" si="23"/>
        <v>#DIV/0!</v>
      </c>
      <c r="S46" s="340"/>
      <c r="T46" s="278"/>
      <c r="U46" s="48"/>
      <c r="V46" s="63"/>
    </row>
    <row r="47" spans="1:22">
      <c r="A47" s="10">
        <v>1</v>
      </c>
      <c r="B47" s="55"/>
      <c r="C47" s="55" t="s">
        <v>64</v>
      </c>
      <c r="D47" s="50"/>
      <c r="E47" s="52"/>
      <c r="F47" s="73" t="s">
        <v>14</v>
      </c>
      <c r="G47" s="358"/>
      <c r="H47" s="358"/>
      <c r="I47" s="358"/>
      <c r="J47" s="55">
        <f t="shared" si="26"/>
        <v>0</v>
      </c>
      <c r="K47" s="358"/>
      <c r="L47" s="55">
        <f t="shared" si="24"/>
        <v>0</v>
      </c>
      <c r="M47" s="56" t="e">
        <f t="shared" si="21"/>
        <v>#DIV/0!</v>
      </c>
      <c r="N47" s="56" t="e">
        <f t="shared" si="10"/>
        <v>#DIV/0!</v>
      </c>
      <c r="O47" s="56" t="e">
        <f t="shared" si="11"/>
        <v>#DIV/0!</v>
      </c>
      <c r="P47" s="305" t="e">
        <f t="shared" si="22"/>
        <v>#DIV/0!</v>
      </c>
      <c r="Q47" s="359"/>
      <c r="R47" s="305" t="e">
        <f t="shared" si="23"/>
        <v>#DIV/0!</v>
      </c>
      <c r="S47" s="340"/>
      <c r="T47" s="61"/>
      <c r="U47" s="48"/>
    </row>
    <row r="48" spans="1:22">
      <c r="A48" s="10">
        <v>1</v>
      </c>
      <c r="B48" s="55"/>
      <c r="C48" s="55" t="s">
        <v>64</v>
      </c>
      <c r="D48" s="50"/>
      <c r="E48" s="52"/>
      <c r="F48" s="53" t="s">
        <v>329</v>
      </c>
      <c r="G48" s="358"/>
      <c r="H48" s="358"/>
      <c r="I48" s="358"/>
      <c r="J48" s="54">
        <f t="shared" si="26"/>
        <v>0</v>
      </c>
      <c r="K48" s="358"/>
      <c r="L48" s="55">
        <f t="shared" si="24"/>
        <v>0</v>
      </c>
      <c r="M48" s="56" t="e">
        <f t="shared" si="21"/>
        <v>#DIV/0!</v>
      </c>
      <c r="N48" s="57" t="e">
        <f t="shared" si="10"/>
        <v>#DIV/0!</v>
      </c>
      <c r="O48" s="57" t="e">
        <f t="shared" si="11"/>
        <v>#DIV/0!</v>
      </c>
      <c r="P48" s="58" t="e">
        <f t="shared" si="22"/>
        <v>#DIV/0!</v>
      </c>
      <c r="Q48" s="357"/>
      <c r="R48" s="59" t="e">
        <f t="shared" si="23"/>
        <v>#DIV/0!</v>
      </c>
      <c r="S48" s="340"/>
      <c r="T48" s="276"/>
      <c r="U48" s="48"/>
    </row>
    <row r="49" spans="1:22">
      <c r="A49" s="10">
        <v>1</v>
      </c>
      <c r="B49" s="55"/>
      <c r="C49" s="55" t="s">
        <v>64</v>
      </c>
      <c r="D49" s="50"/>
      <c r="E49" s="92"/>
      <c r="F49" s="53" t="s">
        <v>369</v>
      </c>
      <c r="G49" s="358"/>
      <c r="H49" s="358"/>
      <c r="I49" s="358"/>
      <c r="J49" s="55">
        <f t="shared" si="26"/>
        <v>0</v>
      </c>
      <c r="K49" s="358"/>
      <c r="L49" s="55">
        <f t="shared" si="24"/>
        <v>0</v>
      </c>
      <c r="M49" s="56" t="e">
        <f t="shared" si="21"/>
        <v>#DIV/0!</v>
      </c>
      <c r="N49" s="56" t="e">
        <f t="shared" si="10"/>
        <v>#DIV/0!</v>
      </c>
      <c r="O49" s="56" t="e">
        <f t="shared" si="11"/>
        <v>#DIV/0!</v>
      </c>
      <c r="P49" s="305" t="e">
        <f t="shared" si="22"/>
        <v>#DIV/0!</v>
      </c>
      <c r="Q49" s="359"/>
      <c r="R49" s="305" t="e">
        <f t="shared" si="23"/>
        <v>#DIV/0!</v>
      </c>
      <c r="S49" s="340"/>
      <c r="T49" s="61"/>
      <c r="U49" s="48"/>
      <c r="V49" s="29"/>
    </row>
    <row r="50" spans="1:22">
      <c r="B50" s="55"/>
      <c r="C50" s="55" t="s">
        <v>64</v>
      </c>
      <c r="D50" s="50"/>
      <c r="E50" s="52"/>
      <c r="F50" s="53" t="s">
        <v>370</v>
      </c>
      <c r="G50" s="358"/>
      <c r="H50" s="358"/>
      <c r="I50" s="358"/>
      <c r="J50" s="54">
        <f>G50+H50-I50</f>
        <v>0</v>
      </c>
      <c r="K50" s="358"/>
      <c r="L50" s="55">
        <f t="shared" si="24"/>
        <v>0</v>
      </c>
      <c r="M50" s="56" t="e">
        <f t="shared" si="21"/>
        <v>#DIV/0!</v>
      </c>
      <c r="N50" s="57" t="e">
        <f t="shared" si="10"/>
        <v>#DIV/0!</v>
      </c>
      <c r="O50" s="57" t="e">
        <f t="shared" si="11"/>
        <v>#DIV/0!</v>
      </c>
      <c r="P50" s="58" t="e">
        <f t="shared" si="22"/>
        <v>#DIV/0!</v>
      </c>
      <c r="Q50" s="357"/>
      <c r="R50" s="59" t="e">
        <f t="shared" si="23"/>
        <v>#DIV/0!</v>
      </c>
      <c r="S50" s="340"/>
      <c r="T50" s="61"/>
      <c r="U50" s="48"/>
      <c r="V50" s="72"/>
    </row>
    <row r="51" spans="1:22">
      <c r="B51" s="55"/>
      <c r="C51" s="55" t="s">
        <v>64</v>
      </c>
      <c r="D51" s="50"/>
      <c r="E51" s="52"/>
      <c r="F51" s="53" t="s">
        <v>371</v>
      </c>
      <c r="G51" s="358"/>
      <c r="H51" s="358"/>
      <c r="I51" s="358"/>
      <c r="J51" s="54">
        <f>G51+H51-I51</f>
        <v>0</v>
      </c>
      <c r="K51" s="358"/>
      <c r="L51" s="55">
        <f t="shared" si="24"/>
        <v>0</v>
      </c>
      <c r="M51" s="56" t="e">
        <f t="shared" si="21"/>
        <v>#DIV/0!</v>
      </c>
      <c r="N51" s="57" t="e">
        <f t="shared" ref="N51:N82" si="27">G51/$N$12</f>
        <v>#DIV/0!</v>
      </c>
      <c r="O51" s="57" t="e">
        <f t="shared" ref="O51:O82" si="28">G51/$O$12</f>
        <v>#DIV/0!</v>
      </c>
      <c r="P51" s="58" t="e">
        <f t="shared" si="22"/>
        <v>#DIV/0!</v>
      </c>
      <c r="Q51" s="357"/>
      <c r="R51" s="59" t="e">
        <f t="shared" si="23"/>
        <v>#DIV/0!</v>
      </c>
      <c r="S51" s="340"/>
      <c r="T51" s="275"/>
      <c r="U51" s="48"/>
      <c r="V51" s="72"/>
    </row>
    <row r="52" spans="1:22" s="9" customFormat="1">
      <c r="A52" s="5"/>
      <c r="B52" s="334"/>
      <c r="C52" s="334"/>
      <c r="D52" s="44"/>
      <c r="E52" s="45" t="s">
        <v>372</v>
      </c>
      <c r="F52" s="64"/>
      <c r="G52" s="334">
        <f>SUM(G53)</f>
        <v>0</v>
      </c>
      <c r="H52" s="334"/>
      <c r="I52" s="334"/>
      <c r="J52" s="334">
        <f t="shared" ref="J52:L52" si="29">SUM(J53)</f>
        <v>0</v>
      </c>
      <c r="K52" s="334">
        <f t="shared" si="29"/>
        <v>0</v>
      </c>
      <c r="L52" s="334">
        <f t="shared" si="29"/>
        <v>0</v>
      </c>
      <c r="M52" s="335" t="e">
        <f t="shared" ref="M52:M53" si="30">L52/K52</f>
        <v>#DIV/0!</v>
      </c>
      <c r="N52" s="299" t="e">
        <f t="shared" si="27"/>
        <v>#DIV/0!</v>
      </c>
      <c r="O52" s="299" t="e">
        <f t="shared" si="28"/>
        <v>#DIV/0!</v>
      </c>
      <c r="P52" s="300" t="e">
        <f>IF(ABS(O52)&gt;100%,"O","X")</f>
        <v>#DIV/0!</v>
      </c>
      <c r="Q52" s="306"/>
      <c r="R52" s="301" t="e">
        <f>IF(P52="O","O",IF(Q52="O","O","X"))</f>
        <v>#DIV/0!</v>
      </c>
      <c r="S52" s="340"/>
      <c r="T52" s="302"/>
      <c r="U52" s="112"/>
      <c r="V52" s="127"/>
    </row>
    <row r="53" spans="1:22">
      <c r="B53" s="55"/>
      <c r="C53" s="55" t="s">
        <v>373</v>
      </c>
      <c r="D53" s="50"/>
      <c r="E53" s="52"/>
      <c r="F53" s="73" t="s">
        <v>373</v>
      </c>
      <c r="G53" s="358"/>
      <c r="H53" s="358"/>
      <c r="I53" s="358"/>
      <c r="J53" s="55">
        <f>G53+H53-I53</f>
        <v>0</v>
      </c>
      <c r="K53" s="358"/>
      <c r="L53" s="55">
        <f>J53-K53</f>
        <v>0</v>
      </c>
      <c r="M53" s="56" t="e">
        <f t="shared" si="30"/>
        <v>#DIV/0!</v>
      </c>
      <c r="N53" s="56" t="e">
        <f t="shared" si="27"/>
        <v>#DIV/0!</v>
      </c>
      <c r="O53" s="56" t="e">
        <f t="shared" si="28"/>
        <v>#DIV/0!</v>
      </c>
      <c r="P53" s="305" t="e">
        <f>IF(ABS(O53)&gt;100%,"O","X")</f>
        <v>#DIV/0!</v>
      </c>
      <c r="Q53" s="359"/>
      <c r="R53" s="305" t="e">
        <f>IF(P53="O","O",IF(Q53="O","O","X"))</f>
        <v>#DIV/0!</v>
      </c>
      <c r="S53" s="340"/>
      <c r="T53" s="61"/>
      <c r="U53" s="48"/>
      <c r="V53" s="72"/>
    </row>
    <row r="54" spans="1:22" s="9" customFormat="1">
      <c r="A54" s="5">
        <v>1</v>
      </c>
      <c r="B54" s="332"/>
      <c r="C54" s="332"/>
      <c r="D54" s="44" t="s">
        <v>374</v>
      </c>
      <c r="E54" s="45"/>
      <c r="F54" s="64"/>
      <c r="G54" s="332">
        <f>G55+G59+G61+G85+G95+G97+G99+G102+G104</f>
        <v>0</v>
      </c>
      <c r="H54" s="332"/>
      <c r="I54" s="332"/>
      <c r="J54" s="332">
        <f>J55+J59+J61+J85+J95+J97+J99+J102+J104</f>
        <v>0</v>
      </c>
      <c r="K54" s="332">
        <f>K55+K59+K61+K85+K95+K97+K99+K102+K104</f>
        <v>0</v>
      </c>
      <c r="L54" s="332">
        <f>L55+L59+L61+L85+L95+L97+L99+L102+L104</f>
        <v>0</v>
      </c>
      <c r="M54" s="333" t="e">
        <f t="shared" ref="M54:M60" si="31">L54/K54</f>
        <v>#DIV/0!</v>
      </c>
      <c r="N54" s="299" t="e">
        <f t="shared" si="27"/>
        <v>#DIV/0!</v>
      </c>
      <c r="O54" s="299" t="e">
        <f t="shared" si="28"/>
        <v>#DIV/0!</v>
      </c>
      <c r="P54" s="300" t="e">
        <f t="shared" ref="P54:P59" si="32">IF(ABS(O54)&gt;100%,"O","X")</f>
        <v>#DIV/0!</v>
      </c>
      <c r="Q54" s="306"/>
      <c r="R54" s="301" t="e">
        <f t="shared" ref="R54:R59" si="33">IF(P54="O","O",IF(Q54="O","O","X"))</f>
        <v>#DIV/0!</v>
      </c>
      <c r="S54" s="340"/>
      <c r="T54" s="122"/>
      <c r="U54" s="112"/>
      <c r="V54" s="114"/>
    </row>
    <row r="55" spans="1:22" s="9" customFormat="1">
      <c r="A55" s="5">
        <v>1</v>
      </c>
      <c r="B55" s="334"/>
      <c r="C55" s="334"/>
      <c r="D55" s="44"/>
      <c r="E55" s="45" t="s">
        <v>375</v>
      </c>
      <c r="F55" s="64"/>
      <c r="G55" s="334">
        <f>SUM(G56:G58)</f>
        <v>0</v>
      </c>
      <c r="H55" s="334"/>
      <c r="I55" s="334"/>
      <c r="J55" s="334">
        <f t="shared" ref="J55:L55" si="34">SUM(J56:J58)</f>
        <v>0</v>
      </c>
      <c r="K55" s="334">
        <f t="shared" si="34"/>
        <v>0</v>
      </c>
      <c r="L55" s="334">
        <f t="shared" si="34"/>
        <v>0</v>
      </c>
      <c r="M55" s="335" t="e">
        <f t="shared" si="31"/>
        <v>#DIV/0!</v>
      </c>
      <c r="N55" s="299" t="e">
        <f t="shared" si="27"/>
        <v>#DIV/0!</v>
      </c>
      <c r="O55" s="299" t="e">
        <f t="shared" si="28"/>
        <v>#DIV/0!</v>
      </c>
      <c r="P55" s="300" t="e">
        <f t="shared" si="32"/>
        <v>#DIV/0!</v>
      </c>
      <c r="Q55" s="306"/>
      <c r="R55" s="301" t="e">
        <f t="shared" si="33"/>
        <v>#DIV/0!</v>
      </c>
      <c r="S55" s="340"/>
      <c r="T55" s="114"/>
      <c r="U55" s="112"/>
      <c r="V55" s="312"/>
    </row>
    <row r="56" spans="1:22">
      <c r="A56" s="10">
        <v>1</v>
      </c>
      <c r="B56" s="55"/>
      <c r="C56" s="55" t="s">
        <v>521</v>
      </c>
      <c r="D56" s="50"/>
      <c r="E56" s="52"/>
      <c r="F56" s="53" t="s">
        <v>376</v>
      </c>
      <c r="G56" s="358"/>
      <c r="H56" s="358"/>
      <c r="I56" s="358"/>
      <c r="J56" s="54">
        <f>G56+H56-I56</f>
        <v>0</v>
      </c>
      <c r="K56" s="358"/>
      <c r="L56" s="55">
        <f t="shared" ref="L56:L84" si="35">J56-K56</f>
        <v>0</v>
      </c>
      <c r="M56" s="56" t="e">
        <f t="shared" si="31"/>
        <v>#DIV/0!</v>
      </c>
      <c r="N56" s="57" t="e">
        <f t="shared" si="27"/>
        <v>#DIV/0!</v>
      </c>
      <c r="O56" s="57" t="e">
        <f t="shared" si="28"/>
        <v>#DIV/0!</v>
      </c>
      <c r="P56" s="58" t="e">
        <f t="shared" si="32"/>
        <v>#DIV/0!</v>
      </c>
      <c r="Q56" s="357"/>
      <c r="R56" s="59" t="e">
        <f t="shared" si="33"/>
        <v>#DIV/0!</v>
      </c>
      <c r="S56" s="340"/>
      <c r="T56" s="49"/>
      <c r="U56" s="48"/>
      <c r="V56" s="49"/>
    </row>
    <row r="57" spans="1:22">
      <c r="B57" s="55"/>
      <c r="C57" s="55" t="s">
        <v>520</v>
      </c>
      <c r="D57" s="50"/>
      <c r="E57" s="52"/>
      <c r="F57" s="53" t="s">
        <v>326</v>
      </c>
      <c r="G57" s="358"/>
      <c r="H57" s="358"/>
      <c r="I57" s="358"/>
      <c r="J57" s="54">
        <f>G57+H57-I57</f>
        <v>0</v>
      </c>
      <c r="K57" s="358"/>
      <c r="L57" s="55">
        <f t="shared" si="35"/>
        <v>0</v>
      </c>
      <c r="M57" s="56" t="e">
        <f t="shared" si="31"/>
        <v>#DIV/0!</v>
      </c>
      <c r="N57" s="57" t="e">
        <f t="shared" si="27"/>
        <v>#DIV/0!</v>
      </c>
      <c r="O57" s="57" t="e">
        <f t="shared" si="28"/>
        <v>#DIV/0!</v>
      </c>
      <c r="P57" s="58" t="e">
        <f t="shared" si="32"/>
        <v>#DIV/0!</v>
      </c>
      <c r="Q57" s="357"/>
      <c r="R57" s="59" t="e">
        <f t="shared" si="33"/>
        <v>#DIV/0!</v>
      </c>
      <c r="S57" s="340"/>
      <c r="T57" s="49"/>
      <c r="U57" s="48"/>
      <c r="V57" s="49"/>
    </row>
    <row r="58" spans="1:22">
      <c r="A58" s="10">
        <v>1</v>
      </c>
      <c r="B58" s="55"/>
      <c r="C58" s="55" t="s">
        <v>520</v>
      </c>
      <c r="D58" s="50"/>
      <c r="E58" s="52"/>
      <c r="F58" s="53" t="s">
        <v>141</v>
      </c>
      <c r="G58" s="358"/>
      <c r="H58" s="358"/>
      <c r="I58" s="358"/>
      <c r="J58" s="54">
        <f>G58+H58-I58</f>
        <v>0</v>
      </c>
      <c r="K58" s="358"/>
      <c r="L58" s="55">
        <f t="shared" si="35"/>
        <v>0</v>
      </c>
      <c r="M58" s="56" t="e">
        <f t="shared" si="31"/>
        <v>#DIV/0!</v>
      </c>
      <c r="N58" s="57" t="e">
        <f t="shared" si="27"/>
        <v>#DIV/0!</v>
      </c>
      <c r="O58" s="57" t="e">
        <f t="shared" si="28"/>
        <v>#DIV/0!</v>
      </c>
      <c r="P58" s="58" t="e">
        <f t="shared" si="32"/>
        <v>#DIV/0!</v>
      </c>
      <c r="Q58" s="357"/>
      <c r="R58" s="59" t="e">
        <f t="shared" si="33"/>
        <v>#DIV/0!</v>
      </c>
      <c r="S58" s="340"/>
      <c r="T58" s="61"/>
      <c r="U58" s="48"/>
      <c r="V58" s="63"/>
    </row>
    <row r="59" spans="1:22" s="9" customFormat="1">
      <c r="A59" s="5">
        <v>1</v>
      </c>
      <c r="B59" s="334"/>
      <c r="C59" s="334"/>
      <c r="D59" s="44"/>
      <c r="E59" s="45" t="s">
        <v>377</v>
      </c>
      <c r="F59" s="64"/>
      <c r="G59" s="334">
        <f>SUM(G60)</f>
        <v>0</v>
      </c>
      <c r="H59" s="334"/>
      <c r="I59" s="334"/>
      <c r="J59" s="334">
        <f t="shared" ref="J59:L59" si="36">SUM(J60)</f>
        <v>0</v>
      </c>
      <c r="K59" s="334">
        <f t="shared" si="36"/>
        <v>0</v>
      </c>
      <c r="L59" s="334">
        <f t="shared" si="36"/>
        <v>0</v>
      </c>
      <c r="M59" s="335" t="e">
        <f t="shared" si="31"/>
        <v>#DIV/0!</v>
      </c>
      <c r="N59" s="299" t="e">
        <f t="shared" si="27"/>
        <v>#DIV/0!</v>
      </c>
      <c r="O59" s="299" t="e">
        <f t="shared" si="28"/>
        <v>#DIV/0!</v>
      </c>
      <c r="P59" s="300" t="e">
        <f t="shared" si="32"/>
        <v>#DIV/0!</v>
      </c>
      <c r="Q59" s="306"/>
      <c r="R59" s="301" t="e">
        <f t="shared" si="33"/>
        <v>#DIV/0!</v>
      </c>
      <c r="S59" s="340"/>
      <c r="T59" s="122"/>
      <c r="U59" s="112"/>
      <c r="V59" s="309"/>
    </row>
    <row r="60" spans="1:22">
      <c r="A60" s="10">
        <v>1</v>
      </c>
      <c r="B60" s="55"/>
      <c r="C60" s="55" t="s">
        <v>522</v>
      </c>
      <c r="D60" s="50"/>
      <c r="E60" s="52"/>
      <c r="F60" s="53" t="s">
        <v>378</v>
      </c>
      <c r="G60" s="358"/>
      <c r="H60" s="358"/>
      <c r="I60" s="358"/>
      <c r="J60" s="54">
        <f>G60+H60-I60</f>
        <v>0</v>
      </c>
      <c r="K60" s="358"/>
      <c r="L60" s="55">
        <f>J60-K60</f>
        <v>0</v>
      </c>
      <c r="M60" s="56" t="e">
        <f t="shared" si="31"/>
        <v>#DIV/0!</v>
      </c>
      <c r="N60" s="57" t="e">
        <f t="shared" si="27"/>
        <v>#DIV/0!</v>
      </c>
      <c r="O60" s="57" t="e">
        <f t="shared" si="28"/>
        <v>#DIV/0!</v>
      </c>
      <c r="P60" s="58" t="e">
        <f>IF(ABS(O60)&gt;100%,"O","X")</f>
        <v>#DIV/0!</v>
      </c>
      <c r="Q60" s="357"/>
      <c r="R60" s="59" t="e">
        <f>IF(P60="O","O",IF(Q60="O","O","X"))</f>
        <v>#DIV/0!</v>
      </c>
      <c r="S60" s="340"/>
      <c r="T60" s="61"/>
      <c r="U60" s="48"/>
      <c r="V60" s="63"/>
    </row>
    <row r="61" spans="1:22" s="9" customFormat="1">
      <c r="A61" s="5">
        <v>1</v>
      </c>
      <c r="B61" s="334"/>
      <c r="C61" s="334"/>
      <c r="D61" s="44"/>
      <c r="E61" s="45" t="s">
        <v>379</v>
      </c>
      <c r="F61" s="64"/>
      <c r="G61" s="334">
        <f>SUM(G62:G84)</f>
        <v>0</v>
      </c>
      <c r="H61" s="334"/>
      <c r="I61" s="334"/>
      <c r="J61" s="334">
        <f>SUM(J62:J84)</f>
        <v>0</v>
      </c>
      <c r="K61" s="334">
        <f t="shared" ref="K61:L61" si="37">SUM(K62:K84)</f>
        <v>0</v>
      </c>
      <c r="L61" s="334">
        <f t="shared" si="37"/>
        <v>0</v>
      </c>
      <c r="M61" s="335" t="e">
        <f t="shared" ref="M61:M84" si="38">L61/K61</f>
        <v>#DIV/0!</v>
      </c>
      <c r="N61" s="299" t="e">
        <f t="shared" si="27"/>
        <v>#DIV/0!</v>
      </c>
      <c r="O61" s="299" t="e">
        <f t="shared" si="28"/>
        <v>#DIV/0!</v>
      </c>
      <c r="P61" s="300" t="e">
        <f t="shared" ref="P61:P84" si="39">IF(ABS(O61)&gt;100%,"O","X")</f>
        <v>#DIV/0!</v>
      </c>
      <c r="Q61" s="306"/>
      <c r="R61" s="301" t="e">
        <f t="shared" ref="R61:R84" si="40">IF(P61="O","O",IF(Q61="O","O","X"))</f>
        <v>#DIV/0!</v>
      </c>
      <c r="S61" s="90"/>
      <c r="T61" s="122"/>
      <c r="U61" s="112"/>
      <c r="V61" s="309"/>
    </row>
    <row r="62" spans="1:22">
      <c r="B62" s="55"/>
      <c r="C62" s="55" t="s">
        <v>523</v>
      </c>
      <c r="D62" s="50"/>
      <c r="E62" s="52"/>
      <c r="F62" s="53" t="s">
        <v>57</v>
      </c>
      <c r="G62" s="358"/>
      <c r="H62" s="358"/>
      <c r="I62" s="358"/>
      <c r="J62" s="54">
        <f t="shared" ref="J62:J84" si="41">G62+H62-I62</f>
        <v>0</v>
      </c>
      <c r="K62" s="358"/>
      <c r="L62" s="55">
        <f t="shared" si="35"/>
        <v>0</v>
      </c>
      <c r="M62" s="56" t="e">
        <f t="shared" si="38"/>
        <v>#DIV/0!</v>
      </c>
      <c r="N62" s="57" t="e">
        <f t="shared" si="27"/>
        <v>#DIV/0!</v>
      </c>
      <c r="O62" s="57" t="e">
        <f t="shared" si="28"/>
        <v>#DIV/0!</v>
      </c>
      <c r="P62" s="58" t="e">
        <f t="shared" si="39"/>
        <v>#DIV/0!</v>
      </c>
      <c r="Q62" s="357"/>
      <c r="R62" s="59" t="e">
        <f t="shared" si="40"/>
        <v>#DIV/0!</v>
      </c>
      <c r="S62" s="133"/>
      <c r="T62" s="275"/>
      <c r="U62" s="48"/>
      <c r="V62" s="63"/>
    </row>
    <row r="63" spans="1:22">
      <c r="B63" s="55"/>
      <c r="C63" s="55" t="s">
        <v>65</v>
      </c>
      <c r="D63" s="50"/>
      <c r="E63" s="52"/>
      <c r="F63" s="53" t="s">
        <v>380</v>
      </c>
      <c r="G63" s="358"/>
      <c r="H63" s="358"/>
      <c r="I63" s="358"/>
      <c r="J63" s="54">
        <f t="shared" si="41"/>
        <v>0</v>
      </c>
      <c r="K63" s="358"/>
      <c r="L63" s="55">
        <f t="shared" si="35"/>
        <v>0</v>
      </c>
      <c r="M63" s="56" t="e">
        <f t="shared" si="38"/>
        <v>#DIV/0!</v>
      </c>
      <c r="N63" s="57" t="e">
        <f t="shared" si="27"/>
        <v>#DIV/0!</v>
      </c>
      <c r="O63" s="57" t="e">
        <f t="shared" si="28"/>
        <v>#DIV/0!</v>
      </c>
      <c r="P63" s="58" t="e">
        <f t="shared" si="39"/>
        <v>#DIV/0!</v>
      </c>
      <c r="Q63" s="357"/>
      <c r="R63" s="59" t="e">
        <f t="shared" si="40"/>
        <v>#DIV/0!</v>
      </c>
      <c r="S63" s="133"/>
      <c r="T63" s="275"/>
      <c r="U63" s="48"/>
      <c r="V63" s="63"/>
    </row>
    <row r="64" spans="1:22">
      <c r="A64" s="10">
        <v>1</v>
      </c>
      <c r="B64" s="55"/>
      <c r="C64" s="55" t="s">
        <v>65</v>
      </c>
      <c r="D64" s="50"/>
      <c r="E64" s="52"/>
      <c r="F64" s="53" t="s">
        <v>58</v>
      </c>
      <c r="G64" s="358"/>
      <c r="H64" s="358"/>
      <c r="I64" s="358"/>
      <c r="J64" s="54">
        <f t="shared" si="41"/>
        <v>0</v>
      </c>
      <c r="K64" s="358"/>
      <c r="L64" s="55">
        <f t="shared" si="35"/>
        <v>0</v>
      </c>
      <c r="M64" s="56" t="e">
        <f t="shared" si="38"/>
        <v>#DIV/0!</v>
      </c>
      <c r="N64" s="57" t="e">
        <f t="shared" si="27"/>
        <v>#DIV/0!</v>
      </c>
      <c r="O64" s="57" t="e">
        <f t="shared" si="28"/>
        <v>#DIV/0!</v>
      </c>
      <c r="P64" s="58" t="e">
        <f t="shared" si="39"/>
        <v>#DIV/0!</v>
      </c>
      <c r="Q64" s="357"/>
      <c r="R64" s="59" t="e">
        <f t="shared" si="40"/>
        <v>#DIV/0!</v>
      </c>
      <c r="S64" s="94"/>
      <c r="T64" s="61"/>
      <c r="U64" s="48"/>
      <c r="V64" s="63"/>
    </row>
    <row r="65" spans="1:22">
      <c r="A65" s="10">
        <v>1</v>
      </c>
      <c r="B65" s="55"/>
      <c r="C65" s="55" t="s">
        <v>65</v>
      </c>
      <c r="D65" s="50"/>
      <c r="E65" s="52"/>
      <c r="F65" s="53" t="s">
        <v>101</v>
      </c>
      <c r="G65" s="358"/>
      <c r="H65" s="358"/>
      <c r="I65" s="358"/>
      <c r="J65" s="54">
        <f t="shared" si="41"/>
        <v>0</v>
      </c>
      <c r="K65" s="358"/>
      <c r="L65" s="55">
        <f t="shared" si="35"/>
        <v>0</v>
      </c>
      <c r="M65" s="56" t="e">
        <f t="shared" si="38"/>
        <v>#DIV/0!</v>
      </c>
      <c r="N65" s="57" t="e">
        <f t="shared" si="27"/>
        <v>#DIV/0!</v>
      </c>
      <c r="O65" s="57" t="e">
        <f t="shared" si="28"/>
        <v>#DIV/0!</v>
      </c>
      <c r="P65" s="58" t="e">
        <f t="shared" si="39"/>
        <v>#DIV/0!</v>
      </c>
      <c r="Q65" s="357"/>
      <c r="R65" s="59" t="e">
        <f t="shared" si="40"/>
        <v>#DIV/0!</v>
      </c>
      <c r="S65" s="94"/>
      <c r="T65" s="61"/>
      <c r="U65" s="48"/>
      <c r="V65" s="63"/>
    </row>
    <row r="66" spans="1:22">
      <c r="B66" s="55"/>
      <c r="C66" s="55" t="s">
        <v>65</v>
      </c>
      <c r="D66" s="50"/>
      <c r="E66" s="52"/>
      <c r="F66" s="53" t="s">
        <v>102</v>
      </c>
      <c r="G66" s="358"/>
      <c r="H66" s="358"/>
      <c r="I66" s="358"/>
      <c r="J66" s="54">
        <f t="shared" si="41"/>
        <v>0</v>
      </c>
      <c r="K66" s="358"/>
      <c r="L66" s="55">
        <f t="shared" si="35"/>
        <v>0</v>
      </c>
      <c r="M66" s="56" t="e">
        <f t="shared" si="38"/>
        <v>#DIV/0!</v>
      </c>
      <c r="N66" s="57" t="e">
        <f t="shared" si="27"/>
        <v>#DIV/0!</v>
      </c>
      <c r="O66" s="57" t="e">
        <f t="shared" si="28"/>
        <v>#DIV/0!</v>
      </c>
      <c r="P66" s="58" t="e">
        <f t="shared" si="39"/>
        <v>#DIV/0!</v>
      </c>
      <c r="Q66" s="357"/>
      <c r="R66" s="59" t="e">
        <f t="shared" si="40"/>
        <v>#DIV/0!</v>
      </c>
      <c r="S66" s="94"/>
      <c r="T66" s="61"/>
      <c r="U66" s="48"/>
      <c r="V66" s="63"/>
    </row>
    <row r="67" spans="1:22">
      <c r="B67" s="55"/>
      <c r="C67" s="55" t="s">
        <v>65</v>
      </c>
      <c r="D67" s="50"/>
      <c r="E67" s="52"/>
      <c r="F67" s="53" t="s">
        <v>103</v>
      </c>
      <c r="G67" s="358"/>
      <c r="H67" s="358"/>
      <c r="I67" s="358"/>
      <c r="J67" s="54">
        <f t="shared" si="41"/>
        <v>0</v>
      </c>
      <c r="K67" s="358"/>
      <c r="L67" s="55">
        <f t="shared" si="35"/>
        <v>0</v>
      </c>
      <c r="M67" s="56" t="e">
        <f t="shared" si="38"/>
        <v>#DIV/0!</v>
      </c>
      <c r="N67" s="57" t="e">
        <f t="shared" si="27"/>
        <v>#DIV/0!</v>
      </c>
      <c r="O67" s="57" t="e">
        <f t="shared" si="28"/>
        <v>#DIV/0!</v>
      </c>
      <c r="P67" s="58" t="e">
        <f t="shared" si="39"/>
        <v>#DIV/0!</v>
      </c>
      <c r="Q67" s="357"/>
      <c r="R67" s="59" t="e">
        <f t="shared" si="40"/>
        <v>#DIV/0!</v>
      </c>
      <c r="S67" s="94"/>
      <c r="T67" s="61"/>
      <c r="U67" s="48"/>
      <c r="V67" s="63"/>
    </row>
    <row r="68" spans="1:22">
      <c r="B68" s="55"/>
      <c r="C68" s="55" t="s">
        <v>65</v>
      </c>
      <c r="D68" s="50"/>
      <c r="E68" s="52"/>
      <c r="F68" s="53" t="s">
        <v>16</v>
      </c>
      <c r="G68" s="358"/>
      <c r="H68" s="358"/>
      <c r="I68" s="358"/>
      <c r="J68" s="54">
        <f t="shared" si="41"/>
        <v>0</v>
      </c>
      <c r="K68" s="358"/>
      <c r="L68" s="55">
        <f t="shared" si="35"/>
        <v>0</v>
      </c>
      <c r="M68" s="56" t="e">
        <f t="shared" si="38"/>
        <v>#DIV/0!</v>
      </c>
      <c r="N68" s="57" t="e">
        <f t="shared" si="27"/>
        <v>#DIV/0!</v>
      </c>
      <c r="O68" s="57" t="e">
        <f t="shared" si="28"/>
        <v>#DIV/0!</v>
      </c>
      <c r="P68" s="58" t="e">
        <f t="shared" si="39"/>
        <v>#DIV/0!</v>
      </c>
      <c r="Q68" s="357"/>
      <c r="R68" s="59" t="e">
        <f t="shared" si="40"/>
        <v>#DIV/0!</v>
      </c>
      <c r="S68" s="133"/>
      <c r="T68" s="61"/>
      <c r="U68" s="48"/>
      <c r="V68" s="63"/>
    </row>
    <row r="69" spans="1:22">
      <c r="B69" s="55"/>
      <c r="C69" s="55" t="s">
        <v>65</v>
      </c>
      <c r="D69" s="50"/>
      <c r="E69" s="52"/>
      <c r="F69" s="53" t="s">
        <v>381</v>
      </c>
      <c r="G69" s="358"/>
      <c r="H69" s="358"/>
      <c r="I69" s="358"/>
      <c r="J69" s="54">
        <f t="shared" si="41"/>
        <v>0</v>
      </c>
      <c r="K69" s="358"/>
      <c r="L69" s="55">
        <f t="shared" si="35"/>
        <v>0</v>
      </c>
      <c r="M69" s="56" t="e">
        <f t="shared" si="38"/>
        <v>#DIV/0!</v>
      </c>
      <c r="N69" s="57" t="e">
        <f t="shared" si="27"/>
        <v>#DIV/0!</v>
      </c>
      <c r="O69" s="57" t="e">
        <f t="shared" si="28"/>
        <v>#DIV/0!</v>
      </c>
      <c r="P69" s="58" t="e">
        <f t="shared" si="39"/>
        <v>#DIV/0!</v>
      </c>
      <c r="Q69" s="357"/>
      <c r="R69" s="59" t="e">
        <f t="shared" si="40"/>
        <v>#DIV/0!</v>
      </c>
      <c r="S69" s="94"/>
      <c r="T69" s="61"/>
      <c r="U69" s="48"/>
      <c r="V69" s="63"/>
    </row>
    <row r="70" spans="1:22">
      <c r="B70" s="55"/>
      <c r="C70" s="55" t="s">
        <v>65</v>
      </c>
      <c r="D70" s="50"/>
      <c r="E70" s="52"/>
      <c r="F70" s="53" t="s">
        <v>382</v>
      </c>
      <c r="G70" s="358"/>
      <c r="H70" s="358"/>
      <c r="I70" s="358"/>
      <c r="J70" s="54">
        <f t="shared" si="41"/>
        <v>0</v>
      </c>
      <c r="K70" s="358"/>
      <c r="L70" s="55">
        <f t="shared" si="35"/>
        <v>0</v>
      </c>
      <c r="M70" s="56" t="e">
        <f t="shared" si="38"/>
        <v>#DIV/0!</v>
      </c>
      <c r="N70" s="57" t="e">
        <f t="shared" si="27"/>
        <v>#DIV/0!</v>
      </c>
      <c r="O70" s="57" t="e">
        <f t="shared" si="28"/>
        <v>#DIV/0!</v>
      </c>
      <c r="P70" s="58" t="e">
        <f t="shared" si="39"/>
        <v>#DIV/0!</v>
      </c>
      <c r="Q70" s="357"/>
      <c r="R70" s="59" t="e">
        <f t="shared" si="40"/>
        <v>#DIV/0!</v>
      </c>
      <c r="S70" s="94"/>
      <c r="T70" s="61"/>
      <c r="U70" s="48"/>
      <c r="V70" s="63"/>
    </row>
    <row r="71" spans="1:22">
      <c r="B71" s="55"/>
      <c r="C71" s="55" t="s">
        <v>65</v>
      </c>
      <c r="D71" s="50"/>
      <c r="E71" s="52"/>
      <c r="F71" s="53" t="s">
        <v>383</v>
      </c>
      <c r="G71" s="358"/>
      <c r="H71" s="358"/>
      <c r="I71" s="358"/>
      <c r="J71" s="54">
        <f t="shared" si="41"/>
        <v>0</v>
      </c>
      <c r="K71" s="358"/>
      <c r="L71" s="55">
        <f t="shared" si="35"/>
        <v>0</v>
      </c>
      <c r="M71" s="56" t="e">
        <f t="shared" si="38"/>
        <v>#DIV/0!</v>
      </c>
      <c r="N71" s="57" t="e">
        <f t="shared" si="27"/>
        <v>#DIV/0!</v>
      </c>
      <c r="O71" s="57" t="e">
        <f t="shared" si="28"/>
        <v>#DIV/0!</v>
      </c>
      <c r="P71" s="58" t="e">
        <f t="shared" si="39"/>
        <v>#DIV/0!</v>
      </c>
      <c r="Q71" s="357"/>
      <c r="R71" s="59" t="e">
        <f t="shared" si="40"/>
        <v>#DIV/0!</v>
      </c>
      <c r="S71" s="94"/>
      <c r="T71" s="61"/>
      <c r="U71" s="48"/>
      <c r="V71" s="63"/>
    </row>
    <row r="72" spans="1:22">
      <c r="B72" s="55"/>
      <c r="C72" s="55" t="s">
        <v>65</v>
      </c>
      <c r="D72" s="50"/>
      <c r="E72" s="52"/>
      <c r="F72" s="53" t="s">
        <v>384</v>
      </c>
      <c r="G72" s="358"/>
      <c r="H72" s="358"/>
      <c r="I72" s="358"/>
      <c r="J72" s="54">
        <f t="shared" si="41"/>
        <v>0</v>
      </c>
      <c r="K72" s="358"/>
      <c r="L72" s="55">
        <f t="shared" si="35"/>
        <v>0</v>
      </c>
      <c r="M72" s="56" t="e">
        <f t="shared" si="38"/>
        <v>#DIV/0!</v>
      </c>
      <c r="N72" s="57" t="e">
        <f t="shared" si="27"/>
        <v>#DIV/0!</v>
      </c>
      <c r="O72" s="57" t="e">
        <f t="shared" si="28"/>
        <v>#DIV/0!</v>
      </c>
      <c r="P72" s="58" t="e">
        <f t="shared" si="39"/>
        <v>#DIV/0!</v>
      </c>
      <c r="Q72" s="357"/>
      <c r="R72" s="59" t="e">
        <f t="shared" si="40"/>
        <v>#DIV/0!</v>
      </c>
      <c r="S72" s="133"/>
      <c r="T72" s="61"/>
      <c r="U72" s="48"/>
      <c r="V72" s="63"/>
    </row>
    <row r="73" spans="1:22">
      <c r="A73" s="10">
        <v>1</v>
      </c>
      <c r="B73" s="55"/>
      <c r="C73" s="55" t="s">
        <v>65</v>
      </c>
      <c r="D73" s="50"/>
      <c r="E73" s="52"/>
      <c r="F73" s="53" t="s">
        <v>385</v>
      </c>
      <c r="G73" s="358"/>
      <c r="H73" s="358"/>
      <c r="I73" s="358"/>
      <c r="J73" s="54">
        <f t="shared" si="41"/>
        <v>0</v>
      </c>
      <c r="K73" s="358"/>
      <c r="L73" s="55">
        <f t="shared" si="35"/>
        <v>0</v>
      </c>
      <c r="M73" s="56" t="e">
        <f t="shared" si="38"/>
        <v>#DIV/0!</v>
      </c>
      <c r="N73" s="57" t="e">
        <f t="shared" si="27"/>
        <v>#DIV/0!</v>
      </c>
      <c r="O73" s="57" t="e">
        <f t="shared" si="28"/>
        <v>#DIV/0!</v>
      </c>
      <c r="P73" s="58" t="e">
        <f t="shared" si="39"/>
        <v>#DIV/0!</v>
      </c>
      <c r="Q73" s="357"/>
      <c r="R73" s="59" t="e">
        <f t="shared" si="40"/>
        <v>#DIV/0!</v>
      </c>
      <c r="S73" s="94"/>
      <c r="T73" s="61"/>
      <c r="U73" s="48"/>
      <c r="V73" s="63"/>
    </row>
    <row r="74" spans="1:22">
      <c r="B74" s="55"/>
      <c r="C74" s="55" t="s">
        <v>65</v>
      </c>
      <c r="D74" s="50"/>
      <c r="E74" s="52"/>
      <c r="F74" s="53" t="s">
        <v>17</v>
      </c>
      <c r="G74" s="358"/>
      <c r="H74" s="358"/>
      <c r="I74" s="358"/>
      <c r="J74" s="54">
        <f t="shared" si="41"/>
        <v>0</v>
      </c>
      <c r="K74" s="358"/>
      <c r="L74" s="55">
        <f t="shared" si="35"/>
        <v>0</v>
      </c>
      <c r="M74" s="56" t="e">
        <f t="shared" si="38"/>
        <v>#DIV/0!</v>
      </c>
      <c r="N74" s="57" t="e">
        <f t="shared" si="27"/>
        <v>#DIV/0!</v>
      </c>
      <c r="O74" s="57" t="e">
        <f t="shared" si="28"/>
        <v>#DIV/0!</v>
      </c>
      <c r="P74" s="58" t="e">
        <f t="shared" si="39"/>
        <v>#DIV/0!</v>
      </c>
      <c r="Q74" s="357"/>
      <c r="R74" s="59" t="e">
        <f t="shared" si="40"/>
        <v>#DIV/0!</v>
      </c>
      <c r="S74" s="94"/>
      <c r="T74" s="61"/>
      <c r="U74" s="48"/>
      <c r="V74" s="63"/>
    </row>
    <row r="75" spans="1:22">
      <c r="A75" s="10">
        <v>1</v>
      </c>
      <c r="B75" s="55"/>
      <c r="C75" s="55" t="s">
        <v>65</v>
      </c>
      <c r="D75" s="50"/>
      <c r="E75" s="52"/>
      <c r="F75" s="53" t="s">
        <v>386</v>
      </c>
      <c r="G75" s="358"/>
      <c r="H75" s="358"/>
      <c r="I75" s="358"/>
      <c r="J75" s="54">
        <f t="shared" si="41"/>
        <v>0</v>
      </c>
      <c r="K75" s="358"/>
      <c r="L75" s="55">
        <f t="shared" si="35"/>
        <v>0</v>
      </c>
      <c r="M75" s="56" t="e">
        <f t="shared" si="38"/>
        <v>#DIV/0!</v>
      </c>
      <c r="N75" s="57" t="e">
        <f t="shared" si="27"/>
        <v>#DIV/0!</v>
      </c>
      <c r="O75" s="57" t="e">
        <f t="shared" si="28"/>
        <v>#DIV/0!</v>
      </c>
      <c r="P75" s="58" t="e">
        <f t="shared" si="39"/>
        <v>#DIV/0!</v>
      </c>
      <c r="Q75" s="357"/>
      <c r="R75" s="59" t="e">
        <f t="shared" si="40"/>
        <v>#DIV/0!</v>
      </c>
      <c r="S75" s="94"/>
      <c r="T75" s="61"/>
      <c r="U75" s="48"/>
      <c r="V75" s="63"/>
    </row>
    <row r="76" spans="1:22">
      <c r="A76" s="10">
        <v>1</v>
      </c>
      <c r="B76" s="55"/>
      <c r="C76" s="55" t="s">
        <v>65</v>
      </c>
      <c r="D76" s="50"/>
      <c r="E76" s="52"/>
      <c r="F76" s="73" t="s">
        <v>387</v>
      </c>
      <c r="G76" s="358"/>
      <c r="H76" s="358"/>
      <c r="I76" s="358"/>
      <c r="J76" s="55">
        <f t="shared" si="41"/>
        <v>0</v>
      </c>
      <c r="K76" s="358"/>
      <c r="L76" s="55">
        <f t="shared" si="35"/>
        <v>0</v>
      </c>
      <c r="M76" s="56" t="e">
        <f t="shared" si="38"/>
        <v>#DIV/0!</v>
      </c>
      <c r="N76" s="56" t="e">
        <f t="shared" si="27"/>
        <v>#DIV/0!</v>
      </c>
      <c r="O76" s="56" t="e">
        <f t="shared" si="28"/>
        <v>#DIV/0!</v>
      </c>
      <c r="P76" s="305" t="e">
        <f t="shared" si="39"/>
        <v>#DIV/0!</v>
      </c>
      <c r="Q76" s="359"/>
      <c r="R76" s="305" t="e">
        <f t="shared" si="40"/>
        <v>#DIV/0!</v>
      </c>
      <c r="S76" s="94"/>
      <c r="T76" s="61"/>
      <c r="U76" s="48"/>
      <c r="V76" s="63"/>
    </row>
    <row r="77" spans="1:22">
      <c r="B77" s="55"/>
      <c r="C77" s="55" t="s">
        <v>65</v>
      </c>
      <c r="D77" s="50"/>
      <c r="E77" s="52"/>
      <c r="F77" s="53" t="s">
        <v>38</v>
      </c>
      <c r="G77" s="358"/>
      <c r="H77" s="358"/>
      <c r="I77" s="358"/>
      <c r="J77" s="54">
        <f t="shared" si="41"/>
        <v>0</v>
      </c>
      <c r="K77" s="358"/>
      <c r="L77" s="55">
        <f t="shared" si="35"/>
        <v>0</v>
      </c>
      <c r="M77" s="56" t="e">
        <f t="shared" si="38"/>
        <v>#DIV/0!</v>
      </c>
      <c r="N77" s="57" t="e">
        <f t="shared" si="27"/>
        <v>#DIV/0!</v>
      </c>
      <c r="O77" s="57" t="e">
        <f t="shared" si="28"/>
        <v>#DIV/0!</v>
      </c>
      <c r="P77" s="58" t="e">
        <f t="shared" si="39"/>
        <v>#DIV/0!</v>
      </c>
      <c r="Q77" s="357"/>
      <c r="R77" s="59" t="e">
        <f t="shared" si="40"/>
        <v>#DIV/0!</v>
      </c>
      <c r="S77" s="94"/>
      <c r="T77" s="61"/>
      <c r="U77" s="48"/>
      <c r="V77" s="72"/>
    </row>
    <row r="78" spans="1:22">
      <c r="B78" s="55"/>
      <c r="C78" s="55" t="s">
        <v>65</v>
      </c>
      <c r="D78" s="50"/>
      <c r="E78" s="52"/>
      <c r="F78" s="53" t="s">
        <v>388</v>
      </c>
      <c r="G78" s="358"/>
      <c r="H78" s="358"/>
      <c r="I78" s="358"/>
      <c r="J78" s="54">
        <f t="shared" si="41"/>
        <v>0</v>
      </c>
      <c r="K78" s="358"/>
      <c r="L78" s="55">
        <f t="shared" si="35"/>
        <v>0</v>
      </c>
      <c r="M78" s="56" t="e">
        <f t="shared" si="38"/>
        <v>#DIV/0!</v>
      </c>
      <c r="N78" s="57" t="e">
        <f t="shared" si="27"/>
        <v>#DIV/0!</v>
      </c>
      <c r="O78" s="57" t="e">
        <f t="shared" si="28"/>
        <v>#DIV/0!</v>
      </c>
      <c r="P78" s="58" t="e">
        <f t="shared" si="39"/>
        <v>#DIV/0!</v>
      </c>
      <c r="Q78" s="357"/>
      <c r="R78" s="59" t="e">
        <f t="shared" si="40"/>
        <v>#DIV/0!</v>
      </c>
      <c r="S78" s="94"/>
      <c r="T78" s="61"/>
      <c r="U78" s="48"/>
      <c r="V78" s="72"/>
    </row>
    <row r="79" spans="1:22">
      <c r="B79" s="55"/>
      <c r="C79" s="55" t="s">
        <v>65</v>
      </c>
      <c r="D79" s="50"/>
      <c r="E79" s="52"/>
      <c r="F79" s="53" t="s">
        <v>389</v>
      </c>
      <c r="G79" s="358"/>
      <c r="H79" s="358"/>
      <c r="I79" s="358"/>
      <c r="J79" s="54">
        <f t="shared" si="41"/>
        <v>0</v>
      </c>
      <c r="K79" s="358"/>
      <c r="L79" s="55">
        <f t="shared" si="35"/>
        <v>0</v>
      </c>
      <c r="M79" s="56" t="e">
        <f t="shared" si="38"/>
        <v>#DIV/0!</v>
      </c>
      <c r="N79" s="57" t="e">
        <f t="shared" si="27"/>
        <v>#DIV/0!</v>
      </c>
      <c r="O79" s="57" t="e">
        <f t="shared" si="28"/>
        <v>#DIV/0!</v>
      </c>
      <c r="P79" s="58" t="e">
        <f t="shared" si="39"/>
        <v>#DIV/0!</v>
      </c>
      <c r="Q79" s="357"/>
      <c r="R79" s="59" t="e">
        <f t="shared" si="40"/>
        <v>#DIV/0!</v>
      </c>
      <c r="S79" s="133"/>
      <c r="T79" s="61"/>
      <c r="U79" s="48"/>
      <c r="V79" s="72"/>
    </row>
    <row r="80" spans="1:22">
      <c r="B80" s="55"/>
      <c r="C80" s="55" t="s">
        <v>65</v>
      </c>
      <c r="D80" s="50"/>
      <c r="E80" s="52"/>
      <c r="F80" s="73" t="s">
        <v>208</v>
      </c>
      <c r="G80" s="358"/>
      <c r="H80" s="358"/>
      <c r="I80" s="358"/>
      <c r="J80" s="55">
        <f t="shared" si="41"/>
        <v>0</v>
      </c>
      <c r="K80" s="358"/>
      <c r="L80" s="55">
        <f t="shared" si="35"/>
        <v>0</v>
      </c>
      <c r="M80" s="56" t="e">
        <f t="shared" si="38"/>
        <v>#DIV/0!</v>
      </c>
      <c r="N80" s="56" t="e">
        <f t="shared" si="27"/>
        <v>#DIV/0!</v>
      </c>
      <c r="O80" s="56" t="e">
        <f t="shared" si="28"/>
        <v>#DIV/0!</v>
      </c>
      <c r="P80" s="305" t="e">
        <f t="shared" si="39"/>
        <v>#DIV/0!</v>
      </c>
      <c r="Q80" s="359"/>
      <c r="R80" s="305" t="e">
        <f t="shared" si="40"/>
        <v>#DIV/0!</v>
      </c>
      <c r="S80" s="94"/>
      <c r="T80" s="61"/>
      <c r="U80" s="48"/>
      <c r="V80" s="72"/>
    </row>
    <row r="81" spans="1:22">
      <c r="A81" s="10">
        <v>1</v>
      </c>
      <c r="B81" s="55"/>
      <c r="C81" s="55" t="s">
        <v>65</v>
      </c>
      <c r="D81" s="50"/>
      <c r="E81" s="52"/>
      <c r="F81" s="53" t="s">
        <v>350</v>
      </c>
      <c r="G81" s="358"/>
      <c r="H81" s="358"/>
      <c r="I81" s="358"/>
      <c r="J81" s="54">
        <f t="shared" si="41"/>
        <v>0</v>
      </c>
      <c r="K81" s="358"/>
      <c r="L81" s="55">
        <f>J81-K81</f>
        <v>0</v>
      </c>
      <c r="M81" s="56" t="e">
        <f t="shared" si="38"/>
        <v>#DIV/0!</v>
      </c>
      <c r="N81" s="57" t="e">
        <f t="shared" si="27"/>
        <v>#DIV/0!</v>
      </c>
      <c r="O81" s="57" t="e">
        <f t="shared" si="28"/>
        <v>#DIV/0!</v>
      </c>
      <c r="P81" s="58" t="e">
        <f t="shared" si="39"/>
        <v>#DIV/0!</v>
      </c>
      <c r="Q81" s="357"/>
      <c r="R81" s="59" t="e">
        <f t="shared" si="40"/>
        <v>#DIV/0!</v>
      </c>
      <c r="S81" s="133"/>
      <c r="T81" s="61"/>
      <c r="U81" s="48"/>
      <c r="V81" s="49"/>
    </row>
    <row r="82" spans="1:22">
      <c r="B82" s="55"/>
      <c r="C82" s="55" t="s">
        <v>65</v>
      </c>
      <c r="D82" s="50"/>
      <c r="E82" s="52"/>
      <c r="F82" s="53" t="s">
        <v>390</v>
      </c>
      <c r="G82" s="358"/>
      <c r="H82" s="358"/>
      <c r="I82" s="358"/>
      <c r="J82" s="54">
        <f t="shared" si="41"/>
        <v>0</v>
      </c>
      <c r="K82" s="358"/>
      <c r="L82" s="55">
        <f t="shared" si="35"/>
        <v>0</v>
      </c>
      <c r="M82" s="56" t="e">
        <f t="shared" si="38"/>
        <v>#DIV/0!</v>
      </c>
      <c r="N82" s="57" t="e">
        <f t="shared" si="27"/>
        <v>#DIV/0!</v>
      </c>
      <c r="O82" s="57" t="e">
        <f t="shared" si="28"/>
        <v>#DIV/0!</v>
      </c>
      <c r="P82" s="58" t="e">
        <f t="shared" si="39"/>
        <v>#DIV/0!</v>
      </c>
      <c r="Q82" s="357"/>
      <c r="R82" s="59" t="e">
        <f t="shared" si="40"/>
        <v>#DIV/0!</v>
      </c>
      <c r="S82" s="94"/>
      <c r="T82" s="61"/>
      <c r="U82" s="48"/>
      <c r="V82" s="49"/>
    </row>
    <row r="83" spans="1:22">
      <c r="B83" s="55"/>
      <c r="C83" s="55" t="s">
        <v>65</v>
      </c>
      <c r="D83" s="50"/>
      <c r="E83" s="52"/>
      <c r="F83" s="53" t="s">
        <v>59</v>
      </c>
      <c r="G83" s="358"/>
      <c r="H83" s="358"/>
      <c r="I83" s="358"/>
      <c r="J83" s="54">
        <f t="shared" si="41"/>
        <v>0</v>
      </c>
      <c r="K83" s="358"/>
      <c r="L83" s="55">
        <f t="shared" si="35"/>
        <v>0</v>
      </c>
      <c r="M83" s="56" t="e">
        <f t="shared" si="38"/>
        <v>#DIV/0!</v>
      </c>
      <c r="N83" s="57" t="e">
        <f t="shared" ref="N83:N101" si="42">G83/$N$12</f>
        <v>#DIV/0!</v>
      </c>
      <c r="O83" s="57" t="e">
        <f t="shared" ref="O83:O101" si="43">G83/$O$12</f>
        <v>#DIV/0!</v>
      </c>
      <c r="P83" s="58" t="e">
        <f t="shared" si="39"/>
        <v>#DIV/0!</v>
      </c>
      <c r="Q83" s="357"/>
      <c r="R83" s="59" t="e">
        <f t="shared" si="40"/>
        <v>#DIV/0!</v>
      </c>
      <c r="S83" s="133"/>
      <c r="T83" s="61"/>
      <c r="U83" s="48"/>
      <c r="V83" s="49"/>
    </row>
    <row r="84" spans="1:22">
      <c r="B84" s="55"/>
      <c r="C84" s="55" t="s">
        <v>65</v>
      </c>
      <c r="D84" s="50"/>
      <c r="E84" s="52"/>
      <c r="F84" s="73" t="s">
        <v>391</v>
      </c>
      <c r="G84" s="358"/>
      <c r="H84" s="358"/>
      <c r="I84" s="358"/>
      <c r="J84" s="55">
        <f t="shared" si="41"/>
        <v>0</v>
      </c>
      <c r="K84" s="358"/>
      <c r="L84" s="55">
        <f t="shared" si="35"/>
        <v>0</v>
      </c>
      <c r="M84" s="56" t="e">
        <f t="shared" si="38"/>
        <v>#DIV/0!</v>
      </c>
      <c r="N84" s="56" t="e">
        <f t="shared" si="42"/>
        <v>#DIV/0!</v>
      </c>
      <c r="O84" s="56" t="e">
        <f t="shared" si="43"/>
        <v>#DIV/0!</v>
      </c>
      <c r="P84" s="305" t="e">
        <f t="shared" si="39"/>
        <v>#DIV/0!</v>
      </c>
      <c r="Q84" s="359"/>
      <c r="R84" s="305" t="e">
        <f t="shared" si="40"/>
        <v>#DIV/0!</v>
      </c>
      <c r="S84" s="94"/>
      <c r="T84" s="61"/>
      <c r="U84" s="48"/>
      <c r="V84" s="72"/>
    </row>
    <row r="85" spans="1:22" s="9" customFormat="1">
      <c r="A85" s="5">
        <v>1</v>
      </c>
      <c r="B85" s="334"/>
      <c r="C85" s="334"/>
      <c r="D85" s="44"/>
      <c r="E85" s="45" t="s">
        <v>392</v>
      </c>
      <c r="F85" s="64"/>
      <c r="G85" s="334">
        <f>SUM(G86:G94)</f>
        <v>0</v>
      </c>
      <c r="H85" s="334"/>
      <c r="I85" s="334"/>
      <c r="J85" s="334">
        <f t="shared" ref="J85:L85" si="44">SUM(J86:J94)</f>
        <v>0</v>
      </c>
      <c r="K85" s="334">
        <f t="shared" si="44"/>
        <v>0</v>
      </c>
      <c r="L85" s="334">
        <f t="shared" si="44"/>
        <v>0</v>
      </c>
      <c r="M85" s="335" t="e">
        <f t="shared" ref="M85:M94" si="45">L85/K85</f>
        <v>#DIV/0!</v>
      </c>
      <c r="N85" s="299" t="e">
        <f t="shared" si="42"/>
        <v>#DIV/0!</v>
      </c>
      <c r="O85" s="299" t="e">
        <f t="shared" si="43"/>
        <v>#DIV/0!</v>
      </c>
      <c r="P85" s="300" t="e">
        <f>IF(ABS(O85)&gt;100%,"O","X")</f>
        <v>#DIV/0!</v>
      </c>
      <c r="Q85" s="306"/>
      <c r="R85" s="301" t="e">
        <f>IF(P85="O","O",IF(Q85="O","O","X"))</f>
        <v>#DIV/0!</v>
      </c>
      <c r="S85" s="341"/>
      <c r="T85" s="302"/>
      <c r="U85" s="112"/>
      <c r="V85" s="114"/>
    </row>
    <row r="86" spans="1:22">
      <c r="B86" s="55"/>
      <c r="C86" s="55" t="s">
        <v>524</v>
      </c>
      <c r="D86" s="50"/>
      <c r="E86" s="52"/>
      <c r="F86" s="53" t="s">
        <v>393</v>
      </c>
      <c r="G86" s="358"/>
      <c r="H86" s="358"/>
      <c r="I86" s="358"/>
      <c r="J86" s="54">
        <f t="shared" ref="J86:J94" si="46">G86+H86-I86</f>
        <v>0</v>
      </c>
      <c r="K86" s="358"/>
      <c r="L86" s="55">
        <f t="shared" ref="L86:L94" si="47">J86-K86</f>
        <v>0</v>
      </c>
      <c r="M86" s="56" t="e">
        <f t="shared" si="45"/>
        <v>#DIV/0!</v>
      </c>
      <c r="N86" s="57" t="e">
        <f t="shared" si="42"/>
        <v>#DIV/0!</v>
      </c>
      <c r="O86" s="57" t="e">
        <f t="shared" si="43"/>
        <v>#DIV/0!</v>
      </c>
      <c r="P86" s="58" t="e">
        <f t="shared" ref="P86:P94" si="48">IF(ABS(O86)&gt;100%,"O","X")</f>
        <v>#DIV/0!</v>
      </c>
      <c r="Q86" s="357"/>
      <c r="R86" s="59" t="e">
        <f t="shared" ref="R86:R94" si="49">IF(P86="O","O",IF(Q86="O","O","X"))</f>
        <v>#DIV/0!</v>
      </c>
      <c r="S86" s="94"/>
      <c r="T86" s="61"/>
      <c r="U86" s="48"/>
      <c r="V86" s="49"/>
    </row>
    <row r="87" spans="1:22">
      <c r="B87" s="55"/>
      <c r="C87" s="55" t="s">
        <v>66</v>
      </c>
      <c r="D87" s="50"/>
      <c r="E87" s="52"/>
      <c r="F87" s="53" t="s">
        <v>394</v>
      </c>
      <c r="G87" s="358"/>
      <c r="H87" s="358"/>
      <c r="I87" s="358"/>
      <c r="J87" s="54">
        <f t="shared" si="46"/>
        <v>0</v>
      </c>
      <c r="K87" s="358"/>
      <c r="L87" s="55">
        <f t="shared" si="47"/>
        <v>0</v>
      </c>
      <c r="M87" s="56" t="e">
        <f t="shared" si="45"/>
        <v>#DIV/0!</v>
      </c>
      <c r="N87" s="57" t="e">
        <f t="shared" si="42"/>
        <v>#DIV/0!</v>
      </c>
      <c r="O87" s="57" t="e">
        <f t="shared" si="43"/>
        <v>#DIV/0!</v>
      </c>
      <c r="P87" s="58" t="e">
        <f t="shared" si="48"/>
        <v>#DIV/0!</v>
      </c>
      <c r="Q87" s="357"/>
      <c r="R87" s="59" t="e">
        <f t="shared" si="49"/>
        <v>#DIV/0!</v>
      </c>
      <c r="S87" s="133"/>
      <c r="T87" s="61"/>
      <c r="U87" s="48"/>
      <c r="V87" s="49"/>
    </row>
    <row r="88" spans="1:22">
      <c r="B88" s="55"/>
      <c r="C88" s="55" t="s">
        <v>66</v>
      </c>
      <c r="D88" s="50"/>
      <c r="E88" s="52"/>
      <c r="F88" s="53" t="s">
        <v>395</v>
      </c>
      <c r="G88" s="358"/>
      <c r="H88" s="358"/>
      <c r="I88" s="358"/>
      <c r="J88" s="54">
        <f t="shared" si="46"/>
        <v>0</v>
      </c>
      <c r="K88" s="358"/>
      <c r="L88" s="55">
        <f t="shared" si="47"/>
        <v>0</v>
      </c>
      <c r="M88" s="56" t="e">
        <f t="shared" si="45"/>
        <v>#DIV/0!</v>
      </c>
      <c r="N88" s="292" t="e">
        <f t="shared" si="42"/>
        <v>#DIV/0!</v>
      </c>
      <c r="O88" s="292" t="e">
        <f t="shared" si="43"/>
        <v>#DIV/0!</v>
      </c>
      <c r="P88" s="293" t="e">
        <f t="shared" si="48"/>
        <v>#DIV/0!</v>
      </c>
      <c r="Q88" s="361"/>
      <c r="R88" s="293" t="e">
        <f t="shared" si="49"/>
        <v>#DIV/0!</v>
      </c>
      <c r="S88" s="133"/>
      <c r="T88" s="61"/>
      <c r="U88" s="48"/>
      <c r="V88" s="49"/>
    </row>
    <row r="89" spans="1:22">
      <c r="A89" s="10">
        <v>1</v>
      </c>
      <c r="B89" s="55"/>
      <c r="C89" s="55" t="s">
        <v>66</v>
      </c>
      <c r="D89" s="50"/>
      <c r="E89" s="52"/>
      <c r="F89" s="73" t="s">
        <v>396</v>
      </c>
      <c r="G89" s="358"/>
      <c r="H89" s="358"/>
      <c r="I89" s="358"/>
      <c r="J89" s="55">
        <f t="shared" si="46"/>
        <v>0</v>
      </c>
      <c r="K89" s="358"/>
      <c r="L89" s="55">
        <f t="shared" si="47"/>
        <v>0</v>
      </c>
      <c r="M89" s="56" t="e">
        <f t="shared" si="45"/>
        <v>#DIV/0!</v>
      </c>
      <c r="N89" s="56" t="e">
        <f t="shared" si="42"/>
        <v>#DIV/0!</v>
      </c>
      <c r="O89" s="56" t="e">
        <f t="shared" si="43"/>
        <v>#DIV/0!</v>
      </c>
      <c r="P89" s="305" t="e">
        <f t="shared" si="48"/>
        <v>#DIV/0!</v>
      </c>
      <c r="Q89" s="359"/>
      <c r="R89" s="305" t="e">
        <f t="shared" si="49"/>
        <v>#DIV/0!</v>
      </c>
      <c r="S89" s="94"/>
      <c r="T89" s="61"/>
      <c r="U89" s="48"/>
      <c r="V89" s="49"/>
    </row>
    <row r="90" spans="1:22">
      <c r="A90" s="10">
        <v>1</v>
      </c>
      <c r="B90" s="55"/>
      <c r="C90" s="55" t="s">
        <v>66</v>
      </c>
      <c r="D90" s="50"/>
      <c r="E90" s="52"/>
      <c r="F90" s="73" t="s">
        <v>331</v>
      </c>
      <c r="G90" s="358"/>
      <c r="H90" s="358"/>
      <c r="I90" s="358"/>
      <c r="J90" s="54">
        <f t="shared" si="46"/>
        <v>0</v>
      </c>
      <c r="K90" s="358"/>
      <c r="L90" s="55">
        <f t="shared" si="47"/>
        <v>0</v>
      </c>
      <c r="M90" s="56" t="e">
        <f t="shared" si="45"/>
        <v>#DIV/0!</v>
      </c>
      <c r="N90" s="57" t="e">
        <f t="shared" si="42"/>
        <v>#DIV/0!</v>
      </c>
      <c r="O90" s="57" t="e">
        <f t="shared" si="43"/>
        <v>#DIV/0!</v>
      </c>
      <c r="P90" s="58" t="e">
        <f t="shared" si="48"/>
        <v>#DIV/0!</v>
      </c>
      <c r="Q90" s="357"/>
      <c r="R90" s="59" t="e">
        <f t="shared" si="49"/>
        <v>#DIV/0!</v>
      </c>
      <c r="S90" s="340"/>
      <c r="T90" s="62"/>
      <c r="U90" s="48"/>
      <c r="V90" s="49"/>
    </row>
    <row r="91" spans="1:22">
      <c r="A91" s="10">
        <v>1</v>
      </c>
      <c r="B91" s="315"/>
      <c r="C91" s="315" t="s">
        <v>66</v>
      </c>
      <c r="D91" s="50"/>
      <c r="E91" s="52"/>
      <c r="F91" s="298" t="s">
        <v>397</v>
      </c>
      <c r="G91" s="360"/>
      <c r="H91" s="360"/>
      <c r="I91" s="360"/>
      <c r="J91" s="315">
        <f t="shared" si="46"/>
        <v>0</v>
      </c>
      <c r="K91" s="360"/>
      <c r="L91" s="315">
        <f t="shared" si="47"/>
        <v>0</v>
      </c>
      <c r="M91" s="56" t="e">
        <f t="shared" si="45"/>
        <v>#DIV/0!</v>
      </c>
      <c r="N91" s="56" t="e">
        <f t="shared" si="42"/>
        <v>#DIV/0!</v>
      </c>
      <c r="O91" s="56" t="e">
        <f t="shared" si="43"/>
        <v>#DIV/0!</v>
      </c>
      <c r="P91" s="305" t="e">
        <f t="shared" si="48"/>
        <v>#DIV/0!</v>
      </c>
      <c r="Q91" s="359"/>
      <c r="R91" s="305" t="e">
        <f t="shared" si="49"/>
        <v>#DIV/0!</v>
      </c>
      <c r="S91" s="342"/>
      <c r="T91" s="279"/>
      <c r="U91" s="48"/>
      <c r="V91" s="49"/>
    </row>
    <row r="92" spans="1:22">
      <c r="A92" s="10">
        <v>1</v>
      </c>
      <c r="B92" s="315"/>
      <c r="C92" s="315" t="s">
        <v>66</v>
      </c>
      <c r="D92" s="50"/>
      <c r="E92" s="52"/>
      <c r="F92" s="298" t="s">
        <v>398</v>
      </c>
      <c r="G92" s="360"/>
      <c r="H92" s="360"/>
      <c r="I92" s="360"/>
      <c r="J92" s="315">
        <f t="shared" si="46"/>
        <v>0</v>
      </c>
      <c r="K92" s="360"/>
      <c r="L92" s="55">
        <f t="shared" si="47"/>
        <v>0</v>
      </c>
      <c r="M92" s="56" t="e">
        <f t="shared" si="45"/>
        <v>#DIV/0!</v>
      </c>
      <c r="N92" s="56" t="e">
        <f t="shared" si="42"/>
        <v>#DIV/0!</v>
      </c>
      <c r="O92" s="56" t="e">
        <f t="shared" si="43"/>
        <v>#DIV/0!</v>
      </c>
      <c r="P92" s="305" t="e">
        <f t="shared" si="48"/>
        <v>#DIV/0!</v>
      </c>
      <c r="Q92" s="359"/>
      <c r="R92" s="305" t="e">
        <f t="shared" si="49"/>
        <v>#DIV/0!</v>
      </c>
      <c r="S92" s="342"/>
      <c r="T92" s="279"/>
      <c r="U92" s="48"/>
      <c r="V92" s="49"/>
    </row>
    <row r="93" spans="1:22">
      <c r="A93" s="10">
        <v>1</v>
      </c>
      <c r="B93" s="315"/>
      <c r="C93" s="315" t="s">
        <v>66</v>
      </c>
      <c r="D93" s="50"/>
      <c r="E93" s="52"/>
      <c r="F93" s="298" t="s">
        <v>332</v>
      </c>
      <c r="G93" s="360"/>
      <c r="H93" s="360"/>
      <c r="I93" s="360"/>
      <c r="J93" s="315">
        <f t="shared" si="46"/>
        <v>0</v>
      </c>
      <c r="K93" s="360"/>
      <c r="L93" s="315">
        <f t="shared" si="47"/>
        <v>0</v>
      </c>
      <c r="M93" s="56" t="e">
        <f t="shared" si="45"/>
        <v>#DIV/0!</v>
      </c>
      <c r="N93" s="56" t="e">
        <f t="shared" si="42"/>
        <v>#DIV/0!</v>
      </c>
      <c r="O93" s="56" t="e">
        <f t="shared" si="43"/>
        <v>#DIV/0!</v>
      </c>
      <c r="P93" s="305" t="e">
        <f t="shared" si="48"/>
        <v>#DIV/0!</v>
      </c>
      <c r="Q93" s="359"/>
      <c r="R93" s="305" t="e">
        <f t="shared" si="49"/>
        <v>#DIV/0!</v>
      </c>
      <c r="S93" s="342"/>
      <c r="T93" s="279"/>
      <c r="U93" s="48"/>
      <c r="V93" s="49"/>
    </row>
    <row r="94" spans="1:22">
      <c r="A94" s="10">
        <v>1</v>
      </c>
      <c r="B94" s="315"/>
      <c r="C94" s="315" t="s">
        <v>66</v>
      </c>
      <c r="D94" s="50"/>
      <c r="E94" s="52"/>
      <c r="F94" s="298" t="s">
        <v>104</v>
      </c>
      <c r="G94" s="360"/>
      <c r="H94" s="360"/>
      <c r="I94" s="360"/>
      <c r="J94" s="315">
        <f t="shared" si="46"/>
        <v>0</v>
      </c>
      <c r="K94" s="360"/>
      <c r="L94" s="55">
        <f t="shared" si="47"/>
        <v>0</v>
      </c>
      <c r="M94" s="56" t="e">
        <f t="shared" si="45"/>
        <v>#DIV/0!</v>
      </c>
      <c r="N94" s="56" t="e">
        <f t="shared" si="42"/>
        <v>#DIV/0!</v>
      </c>
      <c r="O94" s="56" t="e">
        <f t="shared" si="43"/>
        <v>#DIV/0!</v>
      </c>
      <c r="P94" s="305" t="e">
        <f t="shared" si="48"/>
        <v>#DIV/0!</v>
      </c>
      <c r="Q94" s="359"/>
      <c r="R94" s="305" t="e">
        <f t="shared" si="49"/>
        <v>#DIV/0!</v>
      </c>
      <c r="S94" s="340"/>
      <c r="T94" s="279"/>
      <c r="U94" s="48"/>
      <c r="V94" s="49"/>
    </row>
    <row r="95" spans="1:22" s="9" customFormat="1">
      <c r="A95" s="5"/>
      <c r="B95" s="334"/>
      <c r="C95" s="334"/>
      <c r="D95" s="44"/>
      <c r="E95" s="45" t="s">
        <v>399</v>
      </c>
      <c r="F95" s="64"/>
      <c r="G95" s="334">
        <f>SUM(G96)</f>
        <v>0</v>
      </c>
      <c r="H95" s="334"/>
      <c r="I95" s="334"/>
      <c r="J95" s="334">
        <f t="shared" ref="J95:L95" si="50">SUM(J96)</f>
        <v>0</v>
      </c>
      <c r="K95" s="334">
        <f t="shared" si="50"/>
        <v>0</v>
      </c>
      <c r="L95" s="334">
        <f t="shared" si="50"/>
        <v>0</v>
      </c>
      <c r="M95" s="335" t="e">
        <f>L95/K95</f>
        <v>#DIV/0!</v>
      </c>
      <c r="N95" s="299" t="e">
        <f t="shared" si="42"/>
        <v>#DIV/0!</v>
      </c>
      <c r="O95" s="299" t="e">
        <f t="shared" si="43"/>
        <v>#DIV/0!</v>
      </c>
      <c r="P95" s="300" t="e">
        <f t="shared" ref="P95:P97" si="51">IF(ABS(O95)&gt;100%,"O","X")</f>
        <v>#DIV/0!</v>
      </c>
      <c r="Q95" s="306"/>
      <c r="R95" s="301" t="e">
        <f t="shared" ref="R95:R97" si="52">IF(P95="O","O",IF(Q95="O","O","X"))</f>
        <v>#DIV/0!</v>
      </c>
      <c r="S95" s="339"/>
      <c r="T95" s="307"/>
      <c r="U95" s="112"/>
      <c r="V95" s="114"/>
    </row>
    <row r="96" spans="1:22">
      <c r="A96" s="10">
        <v>1</v>
      </c>
      <c r="B96" s="55"/>
      <c r="C96" s="55" t="s">
        <v>523</v>
      </c>
      <c r="D96" s="50"/>
      <c r="E96" s="52"/>
      <c r="F96" s="53" t="s">
        <v>95</v>
      </c>
      <c r="G96" s="358"/>
      <c r="H96" s="358"/>
      <c r="I96" s="358"/>
      <c r="J96" s="54">
        <f>G96+H96-I96</f>
        <v>0</v>
      </c>
      <c r="K96" s="358"/>
      <c r="L96" s="55">
        <f>J96-K96</f>
        <v>0</v>
      </c>
      <c r="M96" s="56" t="e">
        <f t="shared" ref="M96" si="53">L96/K96</f>
        <v>#DIV/0!</v>
      </c>
      <c r="N96" s="57" t="e">
        <f t="shared" si="42"/>
        <v>#DIV/0!</v>
      </c>
      <c r="O96" s="57" t="e">
        <f t="shared" si="43"/>
        <v>#DIV/0!</v>
      </c>
      <c r="P96" s="58" t="e">
        <f>IF(ABS(O96)&gt;100%,"O","X")</f>
        <v>#DIV/0!</v>
      </c>
      <c r="Q96" s="357"/>
      <c r="R96" s="59" t="e">
        <f>IF(P96="O","O",IF(Q96="O","O","X"))</f>
        <v>#DIV/0!</v>
      </c>
      <c r="S96" s="343"/>
      <c r="T96" s="278"/>
      <c r="U96" s="48"/>
      <c r="V96" s="63"/>
    </row>
    <row r="97" spans="1:22" s="9" customFormat="1">
      <c r="A97" s="5">
        <v>1</v>
      </c>
      <c r="B97" s="334"/>
      <c r="C97" s="334"/>
      <c r="D97" s="44"/>
      <c r="E97" s="45" t="s">
        <v>400</v>
      </c>
      <c r="F97" s="46"/>
      <c r="G97" s="334">
        <f>SUM(G98)</f>
        <v>0</v>
      </c>
      <c r="H97" s="334"/>
      <c r="I97" s="334"/>
      <c r="J97" s="334">
        <f t="shared" ref="J97:L97" si="54">SUM(J98)</f>
        <v>0</v>
      </c>
      <c r="K97" s="334">
        <f t="shared" si="54"/>
        <v>0</v>
      </c>
      <c r="L97" s="334">
        <f t="shared" si="54"/>
        <v>0</v>
      </c>
      <c r="M97" s="335" t="e">
        <f t="shared" ref="M97:M107" si="55">L97/K97</f>
        <v>#DIV/0!</v>
      </c>
      <c r="N97" s="299" t="e">
        <f t="shared" si="42"/>
        <v>#DIV/0!</v>
      </c>
      <c r="O97" s="299" t="e">
        <f t="shared" si="43"/>
        <v>#DIV/0!</v>
      </c>
      <c r="P97" s="300" t="e">
        <f t="shared" si="51"/>
        <v>#DIV/0!</v>
      </c>
      <c r="Q97" s="306"/>
      <c r="R97" s="301" t="e">
        <f t="shared" si="52"/>
        <v>#DIV/0!</v>
      </c>
      <c r="S97" s="339"/>
      <c r="T97" s="307"/>
      <c r="U97" s="112"/>
      <c r="V97" s="114"/>
    </row>
    <row r="98" spans="1:22">
      <c r="A98" s="10">
        <v>1</v>
      </c>
      <c r="B98" s="55"/>
      <c r="C98" s="55" t="s">
        <v>67</v>
      </c>
      <c r="D98" s="50"/>
      <c r="E98" s="52"/>
      <c r="F98" s="53" t="s">
        <v>401</v>
      </c>
      <c r="G98" s="358"/>
      <c r="H98" s="358"/>
      <c r="I98" s="358"/>
      <c r="J98" s="55">
        <f>G98+H98-I98</f>
        <v>0</v>
      </c>
      <c r="K98" s="358"/>
      <c r="L98" s="55">
        <f>J98-K98</f>
        <v>0</v>
      </c>
      <c r="M98" s="56" t="e">
        <f t="shared" si="55"/>
        <v>#DIV/0!</v>
      </c>
      <c r="N98" s="56" t="e">
        <f t="shared" si="42"/>
        <v>#DIV/0!</v>
      </c>
      <c r="O98" s="56" t="e">
        <f t="shared" si="43"/>
        <v>#DIV/0!</v>
      </c>
      <c r="P98" s="305" t="e">
        <f>IF(ABS(O98)&gt;100%,"O","X")</f>
        <v>#DIV/0!</v>
      </c>
      <c r="Q98" s="359"/>
      <c r="R98" s="305" t="e">
        <f>IF(P98="O","O",IF(Q98="O","O","X"))</f>
        <v>#DIV/0!</v>
      </c>
      <c r="S98" s="94"/>
      <c r="T98" s="61"/>
      <c r="U98" s="48"/>
      <c r="V98" s="49"/>
    </row>
    <row r="99" spans="1:22" s="9" customFormat="1">
      <c r="A99" s="5"/>
      <c r="B99" s="334"/>
      <c r="C99" s="334"/>
      <c r="D99" s="44"/>
      <c r="E99" s="45" t="s">
        <v>402</v>
      </c>
      <c r="F99" s="46"/>
      <c r="G99" s="334">
        <f>SUM(G100:G101)</f>
        <v>0</v>
      </c>
      <c r="H99" s="334"/>
      <c r="I99" s="334"/>
      <c r="J99" s="334">
        <f t="shared" ref="J99:L99" si="56">SUM(J100:J101)</f>
        <v>0</v>
      </c>
      <c r="K99" s="334">
        <f t="shared" si="56"/>
        <v>0</v>
      </c>
      <c r="L99" s="334">
        <f t="shared" si="56"/>
        <v>0</v>
      </c>
      <c r="M99" s="335" t="e">
        <f t="shared" si="55"/>
        <v>#DIV/0!</v>
      </c>
      <c r="N99" s="299" t="e">
        <f t="shared" si="42"/>
        <v>#DIV/0!</v>
      </c>
      <c r="O99" s="299" t="e">
        <f t="shared" si="43"/>
        <v>#DIV/0!</v>
      </c>
      <c r="P99" s="300" t="e">
        <f>IF(ABS(O99)&gt;100%,"O","X")</f>
        <v>#DIV/0!</v>
      </c>
      <c r="Q99" s="306" t="s">
        <v>151</v>
      </c>
      <c r="R99" s="301" t="e">
        <f>IF(P99="O","O",IF(Q99="O","O","X"))</f>
        <v>#DIV/0!</v>
      </c>
      <c r="S99" s="341"/>
      <c r="T99" s="122"/>
      <c r="U99" s="112"/>
      <c r="V99" s="114"/>
    </row>
    <row r="100" spans="1:22">
      <c r="B100" s="55"/>
      <c r="C100" s="55" t="s">
        <v>526</v>
      </c>
      <c r="D100" s="50"/>
      <c r="E100" s="52"/>
      <c r="F100" s="73" t="s">
        <v>403</v>
      </c>
      <c r="G100" s="358"/>
      <c r="H100" s="358"/>
      <c r="I100" s="358"/>
      <c r="J100" s="55">
        <f>G100+H100-I100</f>
        <v>0</v>
      </c>
      <c r="K100" s="358"/>
      <c r="L100" s="55">
        <f t="shared" ref="L100:L101" si="57">J100-K100</f>
        <v>0</v>
      </c>
      <c r="M100" s="56" t="e">
        <f t="shared" si="55"/>
        <v>#DIV/0!</v>
      </c>
      <c r="N100" s="56" t="e">
        <f t="shared" si="42"/>
        <v>#DIV/0!</v>
      </c>
      <c r="O100" s="56" t="e">
        <f t="shared" si="43"/>
        <v>#DIV/0!</v>
      </c>
      <c r="P100" s="305" t="e">
        <f t="shared" ref="P100:P101" si="58">IF(ABS(O100)&gt;100%,"O","X")</f>
        <v>#DIV/0!</v>
      </c>
      <c r="Q100" s="359"/>
      <c r="R100" s="305" t="e">
        <f t="shared" ref="R100:R101" si="59">IF(P100="O","O",IF(Q100="O","O","X"))</f>
        <v>#DIV/0!</v>
      </c>
      <c r="S100" s="94"/>
      <c r="T100" s="61"/>
      <c r="U100" s="48"/>
      <c r="V100" s="63"/>
    </row>
    <row r="101" spans="1:22">
      <c r="B101" s="55"/>
      <c r="C101" s="55" t="s">
        <v>525</v>
      </c>
      <c r="D101" s="50"/>
      <c r="E101" s="52"/>
      <c r="F101" s="53" t="s">
        <v>404</v>
      </c>
      <c r="G101" s="358"/>
      <c r="H101" s="358"/>
      <c r="I101" s="358"/>
      <c r="J101" s="54">
        <f>G101-H101+I101</f>
        <v>0</v>
      </c>
      <c r="K101" s="358"/>
      <c r="L101" s="55">
        <f t="shared" si="57"/>
        <v>0</v>
      </c>
      <c r="M101" s="56" t="e">
        <f t="shared" si="55"/>
        <v>#DIV/0!</v>
      </c>
      <c r="N101" s="57" t="e">
        <f t="shared" si="42"/>
        <v>#DIV/0!</v>
      </c>
      <c r="O101" s="57" t="e">
        <f t="shared" si="43"/>
        <v>#DIV/0!</v>
      </c>
      <c r="P101" s="58" t="e">
        <f t="shared" si="58"/>
        <v>#DIV/0!</v>
      </c>
      <c r="Q101" s="357"/>
      <c r="R101" s="59" t="e">
        <f t="shared" si="59"/>
        <v>#DIV/0!</v>
      </c>
      <c r="S101" s="338"/>
      <c r="T101" s="277"/>
      <c r="U101" s="48"/>
      <c r="V101" s="63"/>
    </row>
    <row r="102" spans="1:22" s="9" customFormat="1">
      <c r="A102" s="5">
        <v>1</v>
      </c>
      <c r="B102" s="334"/>
      <c r="C102" s="334"/>
      <c r="D102" s="44"/>
      <c r="E102" s="45" t="s">
        <v>405</v>
      </c>
      <c r="F102" s="64"/>
      <c r="G102" s="334">
        <f>SUM(G103)</f>
        <v>0</v>
      </c>
      <c r="H102" s="334"/>
      <c r="I102" s="334"/>
      <c r="J102" s="334">
        <f t="shared" ref="J102:L102" si="60">SUM(J103)</f>
        <v>0</v>
      </c>
      <c r="K102" s="334">
        <f t="shared" si="60"/>
        <v>0</v>
      </c>
      <c r="L102" s="334">
        <f t="shared" si="60"/>
        <v>0</v>
      </c>
      <c r="M102" s="335" t="e">
        <f t="shared" si="55"/>
        <v>#DIV/0!</v>
      </c>
      <c r="N102" s="47"/>
      <c r="O102" s="47"/>
      <c r="P102" s="66"/>
      <c r="Q102" s="66"/>
      <c r="R102" s="66"/>
      <c r="S102" s="344"/>
      <c r="T102" s="114"/>
      <c r="U102" s="112"/>
      <c r="V102" s="114"/>
    </row>
    <row r="103" spans="1:22">
      <c r="B103" s="55"/>
      <c r="C103" s="55" t="s">
        <v>527</v>
      </c>
      <c r="D103" s="50"/>
      <c r="E103" s="52"/>
      <c r="F103" s="53" t="s">
        <v>406</v>
      </c>
      <c r="G103" s="358"/>
      <c r="H103" s="358"/>
      <c r="I103" s="358"/>
      <c r="J103" s="54">
        <f>G103+H103-I103</f>
        <v>0</v>
      </c>
      <c r="K103" s="358"/>
      <c r="L103" s="55">
        <f>J103-K103</f>
        <v>0</v>
      </c>
      <c r="M103" s="56" t="e">
        <f t="shared" si="55"/>
        <v>#DIV/0!</v>
      </c>
      <c r="N103" s="57" t="e">
        <f t="shared" ref="N103:N113" si="61">G103/$N$12</f>
        <v>#DIV/0!</v>
      </c>
      <c r="O103" s="57" t="e">
        <f t="shared" ref="O103:O113" si="62">G103/$O$12</f>
        <v>#DIV/0!</v>
      </c>
      <c r="P103" s="58" t="e">
        <f>IF(ABS(O103)&gt;100%,"O","X")</f>
        <v>#DIV/0!</v>
      </c>
      <c r="Q103" s="357"/>
      <c r="R103" s="59" t="e">
        <f>IF(P103="O","O",IF(Q103="O","O","X"))</f>
        <v>#DIV/0!</v>
      </c>
      <c r="S103" s="345"/>
      <c r="T103" s="49"/>
      <c r="U103" s="48"/>
      <c r="V103" s="49"/>
    </row>
    <row r="104" spans="1:22" s="9" customFormat="1">
      <c r="A104" s="5"/>
      <c r="B104" s="334"/>
      <c r="C104" s="334"/>
      <c r="D104" s="44"/>
      <c r="E104" s="45" t="s">
        <v>407</v>
      </c>
      <c r="F104" s="64"/>
      <c r="G104" s="334">
        <f>SUM(G105:G106)</f>
        <v>0</v>
      </c>
      <c r="H104" s="334"/>
      <c r="I104" s="334"/>
      <c r="J104" s="334">
        <f t="shared" ref="J104:L104" si="63">SUM(J105:J106)</f>
        <v>0</v>
      </c>
      <c r="K104" s="334">
        <f t="shared" si="63"/>
        <v>0</v>
      </c>
      <c r="L104" s="334">
        <f t="shared" si="63"/>
        <v>0</v>
      </c>
      <c r="M104" s="335" t="e">
        <f t="shared" ref="M104:M106" si="64">L104/K104</f>
        <v>#DIV/0!</v>
      </c>
      <c r="N104" s="299" t="e">
        <f t="shared" si="61"/>
        <v>#DIV/0!</v>
      </c>
      <c r="O104" s="299" t="e">
        <f t="shared" si="62"/>
        <v>#DIV/0!</v>
      </c>
      <c r="P104" s="300" t="e">
        <f t="shared" ref="P104:P106" si="65">IF(ABS(O104)&gt;100%,"O","X")</f>
        <v>#DIV/0!</v>
      </c>
      <c r="Q104" s="306"/>
      <c r="R104" s="301" t="e">
        <f t="shared" ref="R104:R106" si="66">IF(P104="O","O",IF(Q104="O","O","X"))</f>
        <v>#DIV/0!</v>
      </c>
      <c r="S104" s="344"/>
      <c r="T104" s="114"/>
      <c r="U104" s="112"/>
      <c r="V104" s="114"/>
    </row>
    <row r="105" spans="1:22">
      <c r="B105" s="55"/>
      <c r="C105" s="55" t="s">
        <v>529</v>
      </c>
      <c r="D105" s="50"/>
      <c r="E105" s="52"/>
      <c r="F105" s="53" t="s">
        <v>408</v>
      </c>
      <c r="G105" s="358"/>
      <c r="H105" s="358"/>
      <c r="I105" s="358"/>
      <c r="J105" s="54">
        <f>G105+H105-I105</f>
        <v>0</v>
      </c>
      <c r="K105" s="358"/>
      <c r="L105" s="55">
        <f t="shared" ref="L105:L106" si="67">J105-K105</f>
        <v>0</v>
      </c>
      <c r="M105" s="56" t="e">
        <f t="shared" si="64"/>
        <v>#DIV/0!</v>
      </c>
      <c r="N105" s="57" t="e">
        <f t="shared" si="61"/>
        <v>#DIV/0!</v>
      </c>
      <c r="O105" s="57" t="e">
        <f t="shared" si="62"/>
        <v>#DIV/0!</v>
      </c>
      <c r="P105" s="58" t="e">
        <f t="shared" si="65"/>
        <v>#DIV/0!</v>
      </c>
      <c r="Q105" s="357"/>
      <c r="R105" s="59" t="e">
        <f t="shared" si="66"/>
        <v>#DIV/0!</v>
      </c>
      <c r="S105" s="338"/>
      <c r="T105" s="49"/>
      <c r="U105" s="48"/>
      <c r="V105" s="49"/>
    </row>
    <row r="106" spans="1:22">
      <c r="B106" s="55"/>
      <c r="C106" s="55" t="s">
        <v>528</v>
      </c>
      <c r="D106" s="50"/>
      <c r="E106" s="52"/>
      <c r="F106" s="53" t="s">
        <v>367</v>
      </c>
      <c r="G106" s="358"/>
      <c r="H106" s="358"/>
      <c r="I106" s="358"/>
      <c r="J106" s="55">
        <f>G106+H106-I106</f>
        <v>0</v>
      </c>
      <c r="K106" s="358"/>
      <c r="L106" s="55">
        <f t="shared" si="67"/>
        <v>0</v>
      </c>
      <c r="M106" s="56" t="e">
        <f t="shared" si="64"/>
        <v>#DIV/0!</v>
      </c>
      <c r="N106" s="56" t="e">
        <f t="shared" si="61"/>
        <v>#DIV/0!</v>
      </c>
      <c r="O106" s="56" t="e">
        <f t="shared" si="62"/>
        <v>#DIV/0!</v>
      </c>
      <c r="P106" s="305" t="e">
        <f t="shared" si="65"/>
        <v>#DIV/0!</v>
      </c>
      <c r="Q106" s="359"/>
      <c r="R106" s="305" t="e">
        <f t="shared" si="66"/>
        <v>#DIV/0!</v>
      </c>
      <c r="S106" s="345"/>
      <c r="T106" s="49"/>
      <c r="U106" s="48"/>
      <c r="V106" s="49"/>
    </row>
    <row r="107" spans="1:22" s="9" customFormat="1">
      <c r="A107" s="5"/>
      <c r="B107" s="332"/>
      <c r="C107" s="332"/>
      <c r="D107" s="44" t="s">
        <v>161</v>
      </c>
      <c r="E107" s="45"/>
      <c r="F107" s="64"/>
      <c r="G107" s="332">
        <f>G14+G54</f>
        <v>0</v>
      </c>
      <c r="H107" s="332"/>
      <c r="I107" s="332"/>
      <c r="J107" s="332">
        <f>J14+J54</f>
        <v>0</v>
      </c>
      <c r="K107" s="332">
        <f>K14+K54</f>
        <v>0</v>
      </c>
      <c r="L107" s="332">
        <f>L14+L54</f>
        <v>0</v>
      </c>
      <c r="M107" s="333" t="e">
        <f t="shared" si="55"/>
        <v>#DIV/0!</v>
      </c>
      <c r="N107" s="299" t="e">
        <f t="shared" si="61"/>
        <v>#DIV/0!</v>
      </c>
      <c r="O107" s="299" t="e">
        <f t="shared" si="62"/>
        <v>#DIV/0!</v>
      </c>
      <c r="P107" s="300" t="e">
        <f>IF(ABS(O107)&gt;100%,"O","X")</f>
        <v>#DIV/0!</v>
      </c>
      <c r="Q107" s="306"/>
      <c r="R107" s="301" t="e">
        <f>IF(P107="O","O",IF(Q107="O","O","X"))</f>
        <v>#DIV/0!</v>
      </c>
      <c r="S107" s="341"/>
      <c r="T107" s="326"/>
      <c r="U107" s="112"/>
      <c r="V107" s="114"/>
    </row>
    <row r="108" spans="1:22" s="9" customFormat="1">
      <c r="A108" s="5"/>
      <c r="B108" s="332"/>
      <c r="C108" s="332"/>
      <c r="D108" s="44" t="s">
        <v>409</v>
      </c>
      <c r="E108" s="45"/>
      <c r="F108" s="64"/>
      <c r="G108" s="332">
        <f>G109+G114+G131+G136+G139+G141+G144</f>
        <v>0</v>
      </c>
      <c r="H108" s="332"/>
      <c r="I108" s="332"/>
      <c r="J108" s="332">
        <f>J109+J114+J131+J136+J139+J141+J144</f>
        <v>0</v>
      </c>
      <c r="K108" s="332">
        <f>K109+K114+K131+K136+K139+K141+K144</f>
        <v>0</v>
      </c>
      <c r="L108" s="332">
        <f>L109+L114+L131+L136+L139+L141+L144</f>
        <v>0</v>
      </c>
      <c r="M108" s="333" t="e">
        <f t="shared" ref="M108:M113" si="68">L108/K108</f>
        <v>#DIV/0!</v>
      </c>
      <c r="N108" s="299" t="e">
        <f t="shared" si="61"/>
        <v>#DIV/0!</v>
      </c>
      <c r="O108" s="299" t="e">
        <f t="shared" si="62"/>
        <v>#DIV/0!</v>
      </c>
      <c r="P108" s="300" t="e">
        <f t="shared" ref="P108:P113" si="69">IF(ABS(O108)&gt;100%,"O","X")</f>
        <v>#DIV/0!</v>
      </c>
      <c r="Q108" s="306"/>
      <c r="R108" s="301" t="e">
        <f t="shared" ref="R108:R113" si="70">IF(P108="O","O",IF(Q108="O","O","X"))</f>
        <v>#DIV/0!</v>
      </c>
      <c r="S108" s="341"/>
      <c r="T108" s="302"/>
      <c r="U108" s="112"/>
      <c r="V108" s="114"/>
    </row>
    <row r="109" spans="1:22" s="9" customFormat="1">
      <c r="A109" s="5"/>
      <c r="B109" s="334"/>
      <c r="C109" s="334"/>
      <c r="D109" s="44"/>
      <c r="E109" s="45" t="s">
        <v>410</v>
      </c>
      <c r="F109" s="64"/>
      <c r="G109" s="334">
        <f>SUM(G110:G113)</f>
        <v>0</v>
      </c>
      <c r="H109" s="334"/>
      <c r="I109" s="334"/>
      <c r="J109" s="334">
        <f t="shared" ref="J109:L109" si="71">SUM(J110:J113)</f>
        <v>0</v>
      </c>
      <c r="K109" s="334">
        <f t="shared" si="71"/>
        <v>0</v>
      </c>
      <c r="L109" s="334">
        <f t="shared" si="71"/>
        <v>0</v>
      </c>
      <c r="M109" s="335" t="e">
        <f t="shared" si="68"/>
        <v>#DIV/0!</v>
      </c>
      <c r="N109" s="299" t="e">
        <f t="shared" si="61"/>
        <v>#DIV/0!</v>
      </c>
      <c r="O109" s="299" t="e">
        <f t="shared" si="62"/>
        <v>#DIV/0!</v>
      </c>
      <c r="P109" s="300" t="e">
        <f t="shared" si="69"/>
        <v>#DIV/0!</v>
      </c>
      <c r="Q109" s="306"/>
      <c r="R109" s="301" t="e">
        <f t="shared" si="70"/>
        <v>#DIV/0!</v>
      </c>
      <c r="S109" s="341"/>
      <c r="T109" s="122"/>
      <c r="U109" s="112"/>
      <c r="V109" s="114"/>
    </row>
    <row r="110" spans="1:22">
      <c r="B110" s="55"/>
      <c r="C110" s="55" t="s">
        <v>531</v>
      </c>
      <c r="D110" s="50"/>
      <c r="E110" s="52"/>
      <c r="F110" s="53" t="s">
        <v>209</v>
      </c>
      <c r="G110" s="358"/>
      <c r="H110" s="358"/>
      <c r="I110" s="358"/>
      <c r="J110" s="54">
        <f>G110+I110-H110</f>
        <v>0</v>
      </c>
      <c r="K110" s="358"/>
      <c r="L110" s="55">
        <f t="shared" ref="L110:L113" si="72">J110-K110</f>
        <v>0</v>
      </c>
      <c r="M110" s="56" t="e">
        <f t="shared" si="68"/>
        <v>#DIV/0!</v>
      </c>
      <c r="N110" s="57" t="e">
        <f t="shared" si="61"/>
        <v>#DIV/0!</v>
      </c>
      <c r="O110" s="57" t="e">
        <f t="shared" si="62"/>
        <v>#DIV/0!</v>
      </c>
      <c r="P110" s="58" t="e">
        <f t="shared" si="69"/>
        <v>#DIV/0!</v>
      </c>
      <c r="Q110" s="357"/>
      <c r="R110" s="59" t="e">
        <f t="shared" si="70"/>
        <v>#DIV/0!</v>
      </c>
      <c r="S110" s="94"/>
      <c r="T110" s="61"/>
      <c r="U110" s="48"/>
      <c r="V110" s="49"/>
    </row>
    <row r="111" spans="1:22">
      <c r="A111" s="10">
        <v>1</v>
      </c>
      <c r="B111" s="55"/>
      <c r="C111" s="55" t="s">
        <v>530</v>
      </c>
      <c r="D111" s="50"/>
      <c r="E111" s="52"/>
      <c r="F111" s="53" t="s">
        <v>210</v>
      </c>
      <c r="G111" s="358"/>
      <c r="H111" s="358"/>
      <c r="I111" s="358"/>
      <c r="J111" s="55">
        <f t="shared" ref="J111:J113" si="73">G111+I111-H111</f>
        <v>0</v>
      </c>
      <c r="K111" s="358"/>
      <c r="L111" s="55">
        <f t="shared" si="72"/>
        <v>0</v>
      </c>
      <c r="M111" s="56" t="e">
        <f t="shared" si="68"/>
        <v>#DIV/0!</v>
      </c>
      <c r="N111" s="56" t="e">
        <f t="shared" si="61"/>
        <v>#DIV/0!</v>
      </c>
      <c r="O111" s="56" t="e">
        <f t="shared" si="62"/>
        <v>#DIV/0!</v>
      </c>
      <c r="P111" s="305" t="e">
        <f t="shared" si="69"/>
        <v>#DIV/0!</v>
      </c>
      <c r="Q111" s="359"/>
      <c r="R111" s="305" t="e">
        <f t="shared" si="70"/>
        <v>#DIV/0!</v>
      </c>
      <c r="S111" s="94"/>
      <c r="T111" s="61"/>
      <c r="U111" s="48"/>
      <c r="V111" s="63"/>
    </row>
    <row r="112" spans="1:22">
      <c r="B112" s="55"/>
      <c r="C112" s="55" t="s">
        <v>530</v>
      </c>
      <c r="D112" s="50"/>
      <c r="E112" s="52"/>
      <c r="F112" s="73" t="s">
        <v>18</v>
      </c>
      <c r="G112" s="358"/>
      <c r="H112" s="358"/>
      <c r="I112" s="358"/>
      <c r="J112" s="54">
        <f t="shared" si="73"/>
        <v>0</v>
      </c>
      <c r="K112" s="358"/>
      <c r="L112" s="55">
        <f t="shared" si="72"/>
        <v>0</v>
      </c>
      <c r="M112" s="56" t="e">
        <f t="shared" si="68"/>
        <v>#DIV/0!</v>
      </c>
      <c r="N112" s="57" t="e">
        <f t="shared" si="61"/>
        <v>#DIV/0!</v>
      </c>
      <c r="O112" s="57" t="e">
        <f t="shared" si="62"/>
        <v>#DIV/0!</v>
      </c>
      <c r="P112" s="58" t="e">
        <f t="shared" si="69"/>
        <v>#DIV/0!</v>
      </c>
      <c r="Q112" s="357"/>
      <c r="R112" s="59" t="e">
        <f t="shared" si="70"/>
        <v>#DIV/0!</v>
      </c>
      <c r="S112" s="94"/>
      <c r="T112" s="61"/>
      <c r="U112" s="48"/>
      <c r="V112" s="63"/>
    </row>
    <row r="113" spans="1:22">
      <c r="A113" s="10">
        <v>1</v>
      </c>
      <c r="B113" s="315"/>
      <c r="C113" s="315" t="s">
        <v>530</v>
      </c>
      <c r="D113" s="50"/>
      <c r="E113" s="52"/>
      <c r="F113" s="73" t="s">
        <v>60</v>
      </c>
      <c r="G113" s="360"/>
      <c r="H113" s="360"/>
      <c r="I113" s="360"/>
      <c r="J113" s="315">
        <f t="shared" si="73"/>
        <v>0</v>
      </c>
      <c r="K113" s="360"/>
      <c r="L113" s="315">
        <f t="shared" si="72"/>
        <v>0</v>
      </c>
      <c r="M113" s="56" t="e">
        <f t="shared" si="68"/>
        <v>#DIV/0!</v>
      </c>
      <c r="N113" s="56" t="e">
        <f t="shared" si="61"/>
        <v>#DIV/0!</v>
      </c>
      <c r="O113" s="56" t="e">
        <f t="shared" si="62"/>
        <v>#DIV/0!</v>
      </c>
      <c r="P113" s="305" t="e">
        <f t="shared" si="69"/>
        <v>#DIV/0!</v>
      </c>
      <c r="Q113" s="359"/>
      <c r="R113" s="305" t="e">
        <f t="shared" si="70"/>
        <v>#DIV/0!</v>
      </c>
      <c r="S113" s="94"/>
      <c r="T113" s="61"/>
      <c r="U113" s="48"/>
      <c r="V113" s="49"/>
    </row>
    <row r="114" spans="1:22" s="9" customFormat="1">
      <c r="A114" s="5"/>
      <c r="B114" s="334"/>
      <c r="C114" s="334"/>
      <c r="D114" s="44"/>
      <c r="E114" s="45" t="s">
        <v>411</v>
      </c>
      <c r="F114" s="64"/>
      <c r="G114" s="334">
        <f>SUM(G115:G130)</f>
        <v>0</v>
      </c>
      <c r="H114" s="334"/>
      <c r="I114" s="334"/>
      <c r="J114" s="334">
        <f t="shared" ref="J114:L114" si="74">SUM(J115:J130)</f>
        <v>0</v>
      </c>
      <c r="K114" s="334">
        <f t="shared" si="74"/>
        <v>0</v>
      </c>
      <c r="L114" s="334">
        <f t="shared" si="74"/>
        <v>0</v>
      </c>
      <c r="M114" s="335" t="e">
        <f>L114/K114</f>
        <v>#DIV/0!</v>
      </c>
      <c r="N114" s="47"/>
      <c r="O114" s="47"/>
      <c r="P114" s="66"/>
      <c r="Q114" s="66"/>
      <c r="R114" s="66"/>
      <c r="S114" s="94"/>
      <c r="T114" s="122"/>
      <c r="U114" s="112"/>
      <c r="V114" s="114"/>
    </row>
    <row r="115" spans="1:22">
      <c r="B115" s="55"/>
      <c r="C115" s="55" t="s">
        <v>533</v>
      </c>
      <c r="D115" s="50"/>
      <c r="E115" s="52"/>
      <c r="F115" s="53" t="s">
        <v>19</v>
      </c>
      <c r="G115" s="358"/>
      <c r="H115" s="358"/>
      <c r="I115" s="358"/>
      <c r="J115" s="54">
        <f>G115+H115-I115</f>
        <v>0</v>
      </c>
      <c r="K115" s="358"/>
      <c r="L115" s="55">
        <f t="shared" ref="L115:L130" si="75">J115-K115</f>
        <v>0</v>
      </c>
      <c r="M115" s="56" t="e">
        <f t="shared" ref="M115:M130" si="76">L115/K115</f>
        <v>#DIV/0!</v>
      </c>
      <c r="N115" s="57" t="e">
        <f t="shared" ref="N115:N130" si="77">G115/$N$12</f>
        <v>#DIV/0!</v>
      </c>
      <c r="O115" s="57" t="e">
        <f t="shared" ref="O115:O130" si="78">G115/$O$12</f>
        <v>#DIV/0!</v>
      </c>
      <c r="P115" s="58" t="e">
        <f t="shared" ref="P115:P130" si="79">IF(ABS(O115)&gt;100%,"O","X")</f>
        <v>#DIV/0!</v>
      </c>
      <c r="Q115" s="357"/>
      <c r="R115" s="59" t="e">
        <f t="shared" ref="R115:R130" si="80">IF(P115="O","O",IF(Q115="O","O","X"))</f>
        <v>#DIV/0!</v>
      </c>
      <c r="S115" s="94"/>
      <c r="T115" s="275"/>
      <c r="U115" s="48"/>
      <c r="V115" s="49"/>
    </row>
    <row r="116" spans="1:22">
      <c r="B116" s="55"/>
      <c r="C116" s="55" t="s">
        <v>532</v>
      </c>
      <c r="D116" s="50"/>
      <c r="E116" s="52"/>
      <c r="F116" s="53" t="s">
        <v>412</v>
      </c>
      <c r="G116" s="358"/>
      <c r="H116" s="358"/>
      <c r="I116" s="358"/>
      <c r="J116" s="55">
        <f t="shared" ref="J116:J130" si="81">G116-H116+I116</f>
        <v>0</v>
      </c>
      <c r="K116" s="358"/>
      <c r="L116" s="55">
        <f t="shared" si="75"/>
        <v>0</v>
      </c>
      <c r="M116" s="56" t="e">
        <f t="shared" si="76"/>
        <v>#DIV/0!</v>
      </c>
      <c r="N116" s="56" t="e">
        <f t="shared" si="77"/>
        <v>#DIV/0!</v>
      </c>
      <c r="O116" s="56" t="e">
        <f t="shared" si="78"/>
        <v>#DIV/0!</v>
      </c>
      <c r="P116" s="305" t="e">
        <f t="shared" si="79"/>
        <v>#DIV/0!</v>
      </c>
      <c r="Q116" s="359"/>
      <c r="R116" s="305" t="e">
        <f t="shared" si="80"/>
        <v>#DIV/0!</v>
      </c>
      <c r="S116" s="94"/>
      <c r="T116" s="61"/>
      <c r="U116" s="48"/>
      <c r="V116" s="49"/>
    </row>
    <row r="117" spans="1:22">
      <c r="B117" s="55"/>
      <c r="C117" s="55" t="s">
        <v>532</v>
      </c>
      <c r="D117" s="50"/>
      <c r="E117" s="52"/>
      <c r="F117" s="73" t="s">
        <v>413</v>
      </c>
      <c r="G117" s="358"/>
      <c r="H117" s="358"/>
      <c r="I117" s="358"/>
      <c r="J117" s="54">
        <f t="shared" si="81"/>
        <v>0</v>
      </c>
      <c r="K117" s="358"/>
      <c r="L117" s="55">
        <f t="shared" si="75"/>
        <v>0</v>
      </c>
      <c r="M117" s="56" t="e">
        <f t="shared" si="76"/>
        <v>#DIV/0!</v>
      </c>
      <c r="N117" s="57" t="e">
        <f t="shared" si="77"/>
        <v>#DIV/0!</v>
      </c>
      <c r="O117" s="57" t="e">
        <f t="shared" si="78"/>
        <v>#DIV/0!</v>
      </c>
      <c r="P117" s="58" t="e">
        <f t="shared" si="79"/>
        <v>#DIV/0!</v>
      </c>
      <c r="Q117" s="357"/>
      <c r="R117" s="59" t="e">
        <f t="shared" si="80"/>
        <v>#DIV/0!</v>
      </c>
      <c r="S117" s="94"/>
      <c r="T117" s="61"/>
      <c r="U117" s="48"/>
      <c r="V117" s="49"/>
    </row>
    <row r="118" spans="1:22">
      <c r="A118" s="10">
        <v>1</v>
      </c>
      <c r="B118" s="55"/>
      <c r="C118" s="55" t="s">
        <v>532</v>
      </c>
      <c r="D118" s="50"/>
      <c r="E118" s="52"/>
      <c r="F118" s="53" t="s">
        <v>414</v>
      </c>
      <c r="G118" s="358"/>
      <c r="H118" s="358"/>
      <c r="I118" s="358"/>
      <c r="J118" s="55">
        <f t="shared" si="81"/>
        <v>0</v>
      </c>
      <c r="K118" s="358"/>
      <c r="L118" s="55">
        <f t="shared" si="75"/>
        <v>0</v>
      </c>
      <c r="M118" s="56" t="e">
        <f t="shared" si="76"/>
        <v>#DIV/0!</v>
      </c>
      <c r="N118" s="56" t="e">
        <f t="shared" si="77"/>
        <v>#DIV/0!</v>
      </c>
      <c r="O118" s="56" t="e">
        <f t="shared" si="78"/>
        <v>#DIV/0!</v>
      </c>
      <c r="P118" s="305" t="e">
        <f t="shared" si="79"/>
        <v>#DIV/0!</v>
      </c>
      <c r="Q118" s="359"/>
      <c r="R118" s="305" t="e">
        <f t="shared" si="80"/>
        <v>#DIV/0!</v>
      </c>
      <c r="S118" s="94"/>
      <c r="T118" s="61"/>
      <c r="U118" s="48"/>
      <c r="V118" s="49"/>
    </row>
    <row r="119" spans="1:22">
      <c r="B119" s="55"/>
      <c r="C119" s="55" t="s">
        <v>532</v>
      </c>
      <c r="D119" s="50"/>
      <c r="E119" s="52"/>
      <c r="F119" s="53" t="s">
        <v>415</v>
      </c>
      <c r="G119" s="358"/>
      <c r="H119" s="358"/>
      <c r="I119" s="358"/>
      <c r="J119" s="54">
        <f t="shared" si="81"/>
        <v>0</v>
      </c>
      <c r="K119" s="358"/>
      <c r="L119" s="55">
        <f t="shared" si="75"/>
        <v>0</v>
      </c>
      <c r="M119" s="56" t="e">
        <f t="shared" si="76"/>
        <v>#DIV/0!</v>
      </c>
      <c r="N119" s="57" t="e">
        <f t="shared" si="77"/>
        <v>#DIV/0!</v>
      </c>
      <c r="O119" s="57" t="e">
        <f t="shared" si="78"/>
        <v>#DIV/0!</v>
      </c>
      <c r="P119" s="58" t="e">
        <f t="shared" si="79"/>
        <v>#DIV/0!</v>
      </c>
      <c r="Q119" s="357"/>
      <c r="R119" s="59" t="e">
        <f t="shared" si="80"/>
        <v>#DIV/0!</v>
      </c>
      <c r="S119" s="94"/>
      <c r="T119" s="61"/>
      <c r="U119" s="48"/>
      <c r="V119" s="49"/>
    </row>
    <row r="120" spans="1:22">
      <c r="A120" s="10">
        <v>1</v>
      </c>
      <c r="B120" s="55"/>
      <c r="C120" s="55" t="s">
        <v>532</v>
      </c>
      <c r="D120" s="50"/>
      <c r="E120" s="52"/>
      <c r="F120" s="53" t="s">
        <v>416</v>
      </c>
      <c r="G120" s="358"/>
      <c r="H120" s="358"/>
      <c r="I120" s="358"/>
      <c r="J120" s="54">
        <f t="shared" si="81"/>
        <v>0</v>
      </c>
      <c r="K120" s="358"/>
      <c r="L120" s="55">
        <f t="shared" si="75"/>
        <v>0</v>
      </c>
      <c r="M120" s="56" t="e">
        <f t="shared" si="76"/>
        <v>#DIV/0!</v>
      </c>
      <c r="N120" s="57" t="e">
        <f t="shared" si="77"/>
        <v>#DIV/0!</v>
      </c>
      <c r="O120" s="57" t="e">
        <f t="shared" si="78"/>
        <v>#DIV/0!</v>
      </c>
      <c r="P120" s="58" t="e">
        <f t="shared" si="79"/>
        <v>#DIV/0!</v>
      </c>
      <c r="Q120" s="357"/>
      <c r="R120" s="59" t="e">
        <f t="shared" si="80"/>
        <v>#DIV/0!</v>
      </c>
      <c r="S120" s="94"/>
      <c r="T120" s="61"/>
      <c r="U120" s="48"/>
      <c r="V120" s="49"/>
    </row>
    <row r="121" spans="1:22">
      <c r="B121" s="55"/>
      <c r="C121" s="55" t="s">
        <v>532</v>
      </c>
      <c r="D121" s="50"/>
      <c r="E121" s="52"/>
      <c r="F121" s="53" t="s">
        <v>417</v>
      </c>
      <c r="G121" s="358"/>
      <c r="H121" s="358"/>
      <c r="I121" s="358"/>
      <c r="J121" s="54">
        <f t="shared" si="81"/>
        <v>0</v>
      </c>
      <c r="K121" s="358"/>
      <c r="L121" s="55">
        <f t="shared" si="75"/>
        <v>0</v>
      </c>
      <c r="M121" s="56" t="e">
        <f t="shared" si="76"/>
        <v>#DIV/0!</v>
      </c>
      <c r="N121" s="57" t="e">
        <f t="shared" si="77"/>
        <v>#DIV/0!</v>
      </c>
      <c r="O121" s="57" t="e">
        <f t="shared" si="78"/>
        <v>#DIV/0!</v>
      </c>
      <c r="P121" s="58" t="e">
        <f t="shared" si="79"/>
        <v>#DIV/0!</v>
      </c>
      <c r="Q121" s="357"/>
      <c r="R121" s="59" t="e">
        <f t="shared" si="80"/>
        <v>#DIV/0!</v>
      </c>
      <c r="S121" s="94"/>
      <c r="T121" s="61"/>
      <c r="U121" s="48"/>
      <c r="V121" s="49"/>
    </row>
    <row r="122" spans="1:22">
      <c r="B122" s="315"/>
      <c r="C122" s="315" t="s">
        <v>532</v>
      </c>
      <c r="D122" s="50"/>
      <c r="E122" s="52"/>
      <c r="F122" s="73" t="s">
        <v>414</v>
      </c>
      <c r="G122" s="358"/>
      <c r="H122" s="360"/>
      <c r="I122" s="360"/>
      <c r="J122" s="315">
        <f t="shared" si="81"/>
        <v>0</v>
      </c>
      <c r="K122" s="360"/>
      <c r="L122" s="315">
        <f t="shared" si="75"/>
        <v>0</v>
      </c>
      <c r="M122" s="56" t="e">
        <f t="shared" si="76"/>
        <v>#DIV/0!</v>
      </c>
      <c r="N122" s="56" t="e">
        <f t="shared" si="77"/>
        <v>#DIV/0!</v>
      </c>
      <c r="O122" s="56" t="e">
        <f t="shared" si="78"/>
        <v>#DIV/0!</v>
      </c>
      <c r="P122" s="305" t="e">
        <f t="shared" si="79"/>
        <v>#DIV/0!</v>
      </c>
      <c r="Q122" s="359"/>
      <c r="R122" s="305" t="e">
        <f t="shared" si="80"/>
        <v>#DIV/0!</v>
      </c>
      <c r="S122" s="94"/>
      <c r="T122" s="61"/>
      <c r="U122" s="48"/>
      <c r="V122" s="49"/>
    </row>
    <row r="123" spans="1:22">
      <c r="B123" s="315"/>
      <c r="C123" s="315" t="s">
        <v>532</v>
      </c>
      <c r="D123" s="50"/>
      <c r="E123" s="52"/>
      <c r="F123" s="73" t="s">
        <v>418</v>
      </c>
      <c r="G123" s="360"/>
      <c r="H123" s="360"/>
      <c r="I123" s="360"/>
      <c r="J123" s="315">
        <f t="shared" si="81"/>
        <v>0</v>
      </c>
      <c r="K123" s="360"/>
      <c r="L123" s="315">
        <f t="shared" si="75"/>
        <v>0</v>
      </c>
      <c r="M123" s="56" t="e">
        <f t="shared" si="76"/>
        <v>#DIV/0!</v>
      </c>
      <c r="N123" s="56" t="e">
        <f t="shared" si="77"/>
        <v>#DIV/0!</v>
      </c>
      <c r="O123" s="56" t="e">
        <f t="shared" si="78"/>
        <v>#DIV/0!</v>
      </c>
      <c r="P123" s="305" t="e">
        <f t="shared" si="79"/>
        <v>#DIV/0!</v>
      </c>
      <c r="Q123" s="359"/>
      <c r="R123" s="305" t="e">
        <f t="shared" si="80"/>
        <v>#DIV/0!</v>
      </c>
      <c r="S123" s="94"/>
      <c r="T123" s="61"/>
      <c r="U123" s="48"/>
      <c r="V123" s="49"/>
    </row>
    <row r="124" spans="1:22">
      <c r="B124" s="315"/>
      <c r="C124" s="315" t="s">
        <v>532</v>
      </c>
      <c r="D124" s="50"/>
      <c r="E124" s="52"/>
      <c r="F124" s="73" t="s">
        <v>419</v>
      </c>
      <c r="G124" s="360"/>
      <c r="H124" s="360"/>
      <c r="I124" s="360"/>
      <c r="J124" s="315">
        <f t="shared" si="81"/>
        <v>0</v>
      </c>
      <c r="K124" s="360"/>
      <c r="L124" s="315">
        <f t="shared" si="75"/>
        <v>0</v>
      </c>
      <c r="M124" s="56" t="e">
        <f t="shared" si="76"/>
        <v>#DIV/0!</v>
      </c>
      <c r="N124" s="56" t="e">
        <f t="shared" si="77"/>
        <v>#DIV/0!</v>
      </c>
      <c r="O124" s="56" t="e">
        <f t="shared" si="78"/>
        <v>#DIV/0!</v>
      </c>
      <c r="P124" s="305" t="e">
        <f t="shared" si="79"/>
        <v>#DIV/0!</v>
      </c>
      <c r="Q124" s="359"/>
      <c r="R124" s="305" t="e">
        <f t="shared" si="80"/>
        <v>#DIV/0!</v>
      </c>
      <c r="S124" s="94"/>
      <c r="T124" s="61"/>
      <c r="U124" s="48"/>
      <c r="V124" s="49"/>
    </row>
    <row r="125" spans="1:22">
      <c r="B125" s="315"/>
      <c r="C125" s="315" t="s">
        <v>532</v>
      </c>
      <c r="D125" s="50"/>
      <c r="E125" s="52"/>
      <c r="F125" s="73" t="s">
        <v>420</v>
      </c>
      <c r="G125" s="360"/>
      <c r="H125" s="360"/>
      <c r="I125" s="360"/>
      <c r="J125" s="315">
        <f t="shared" si="81"/>
        <v>0</v>
      </c>
      <c r="K125" s="360"/>
      <c r="L125" s="315">
        <f t="shared" si="75"/>
        <v>0</v>
      </c>
      <c r="M125" s="56" t="e">
        <f t="shared" si="76"/>
        <v>#DIV/0!</v>
      </c>
      <c r="N125" s="56" t="e">
        <f t="shared" si="77"/>
        <v>#DIV/0!</v>
      </c>
      <c r="O125" s="56" t="e">
        <f t="shared" si="78"/>
        <v>#DIV/0!</v>
      </c>
      <c r="P125" s="305" t="e">
        <f t="shared" si="79"/>
        <v>#DIV/0!</v>
      </c>
      <c r="Q125" s="359"/>
      <c r="R125" s="305" t="e">
        <f t="shared" si="80"/>
        <v>#DIV/0!</v>
      </c>
      <c r="S125" s="94"/>
      <c r="T125" s="61"/>
      <c r="U125" s="48"/>
      <c r="V125" s="49"/>
    </row>
    <row r="126" spans="1:22">
      <c r="B126" s="315"/>
      <c r="C126" s="315" t="s">
        <v>532</v>
      </c>
      <c r="D126" s="50"/>
      <c r="E126" s="52"/>
      <c r="F126" s="73" t="s">
        <v>414</v>
      </c>
      <c r="G126" s="360"/>
      <c r="H126" s="360"/>
      <c r="I126" s="360"/>
      <c r="J126" s="315">
        <f t="shared" si="81"/>
        <v>0</v>
      </c>
      <c r="K126" s="360"/>
      <c r="L126" s="315">
        <f t="shared" si="75"/>
        <v>0</v>
      </c>
      <c r="M126" s="56" t="e">
        <f t="shared" si="76"/>
        <v>#DIV/0!</v>
      </c>
      <c r="N126" s="56" t="e">
        <f t="shared" si="77"/>
        <v>#DIV/0!</v>
      </c>
      <c r="O126" s="56" t="e">
        <f t="shared" si="78"/>
        <v>#DIV/0!</v>
      </c>
      <c r="P126" s="305" t="e">
        <f t="shared" si="79"/>
        <v>#DIV/0!</v>
      </c>
      <c r="Q126" s="359"/>
      <c r="R126" s="305" t="e">
        <f t="shared" si="80"/>
        <v>#DIV/0!</v>
      </c>
      <c r="S126" s="94"/>
      <c r="T126" s="61"/>
      <c r="U126" s="48"/>
      <c r="V126" s="49"/>
    </row>
    <row r="127" spans="1:22">
      <c r="B127" s="315"/>
      <c r="C127" s="315" t="s">
        <v>532</v>
      </c>
      <c r="D127" s="50"/>
      <c r="E127" s="52"/>
      <c r="F127" s="73" t="s">
        <v>421</v>
      </c>
      <c r="G127" s="360"/>
      <c r="H127" s="360"/>
      <c r="I127" s="360"/>
      <c r="J127" s="315">
        <f t="shared" si="81"/>
        <v>0</v>
      </c>
      <c r="K127" s="360"/>
      <c r="L127" s="315">
        <f t="shared" si="75"/>
        <v>0</v>
      </c>
      <c r="M127" s="56" t="e">
        <f t="shared" si="76"/>
        <v>#DIV/0!</v>
      </c>
      <c r="N127" s="56" t="e">
        <f t="shared" si="77"/>
        <v>#DIV/0!</v>
      </c>
      <c r="O127" s="56" t="e">
        <f t="shared" si="78"/>
        <v>#DIV/0!</v>
      </c>
      <c r="P127" s="305" t="e">
        <f t="shared" si="79"/>
        <v>#DIV/0!</v>
      </c>
      <c r="Q127" s="359"/>
      <c r="R127" s="305" t="e">
        <f t="shared" si="80"/>
        <v>#DIV/0!</v>
      </c>
      <c r="S127" s="94"/>
      <c r="T127" s="61"/>
      <c r="U127" s="48"/>
      <c r="V127" s="49"/>
    </row>
    <row r="128" spans="1:22">
      <c r="B128" s="315"/>
      <c r="C128" s="315" t="s">
        <v>532</v>
      </c>
      <c r="D128" s="50"/>
      <c r="E128" s="52"/>
      <c r="F128" s="73" t="s">
        <v>422</v>
      </c>
      <c r="G128" s="360"/>
      <c r="H128" s="360"/>
      <c r="I128" s="360"/>
      <c r="J128" s="315">
        <f t="shared" si="81"/>
        <v>0</v>
      </c>
      <c r="K128" s="360"/>
      <c r="L128" s="315">
        <f t="shared" si="75"/>
        <v>0</v>
      </c>
      <c r="M128" s="56" t="e">
        <f t="shared" si="76"/>
        <v>#DIV/0!</v>
      </c>
      <c r="N128" s="56" t="e">
        <f t="shared" si="77"/>
        <v>#DIV/0!</v>
      </c>
      <c r="O128" s="56" t="e">
        <f t="shared" si="78"/>
        <v>#DIV/0!</v>
      </c>
      <c r="P128" s="305" t="e">
        <f t="shared" si="79"/>
        <v>#DIV/0!</v>
      </c>
      <c r="Q128" s="359"/>
      <c r="R128" s="305" t="e">
        <f t="shared" si="80"/>
        <v>#DIV/0!</v>
      </c>
      <c r="S128" s="94"/>
      <c r="T128" s="61"/>
      <c r="U128" s="48"/>
      <c r="V128" s="49"/>
    </row>
    <row r="129" spans="1:22">
      <c r="B129" s="315"/>
      <c r="C129" s="315" t="s">
        <v>532</v>
      </c>
      <c r="D129" s="50"/>
      <c r="E129" s="52"/>
      <c r="F129" s="73" t="s">
        <v>423</v>
      </c>
      <c r="G129" s="360"/>
      <c r="H129" s="360"/>
      <c r="I129" s="360"/>
      <c r="J129" s="315">
        <f t="shared" si="81"/>
        <v>0</v>
      </c>
      <c r="K129" s="360"/>
      <c r="L129" s="315">
        <f t="shared" si="75"/>
        <v>0</v>
      </c>
      <c r="M129" s="56" t="e">
        <f t="shared" si="76"/>
        <v>#DIV/0!</v>
      </c>
      <c r="N129" s="56" t="e">
        <f t="shared" si="77"/>
        <v>#DIV/0!</v>
      </c>
      <c r="O129" s="56" t="e">
        <f t="shared" si="78"/>
        <v>#DIV/0!</v>
      </c>
      <c r="P129" s="305" t="e">
        <f t="shared" si="79"/>
        <v>#DIV/0!</v>
      </c>
      <c r="Q129" s="359"/>
      <c r="R129" s="305" t="e">
        <f t="shared" si="80"/>
        <v>#DIV/0!</v>
      </c>
      <c r="S129" s="94"/>
      <c r="T129" s="61"/>
      <c r="U129" s="48"/>
      <c r="V129" s="49"/>
    </row>
    <row r="130" spans="1:22">
      <c r="B130" s="315"/>
      <c r="C130" s="315" t="s">
        <v>532</v>
      </c>
      <c r="D130" s="50"/>
      <c r="E130" s="52"/>
      <c r="F130" s="73" t="s">
        <v>414</v>
      </c>
      <c r="G130" s="360"/>
      <c r="H130" s="360"/>
      <c r="I130" s="360"/>
      <c r="J130" s="315">
        <f t="shared" si="81"/>
        <v>0</v>
      </c>
      <c r="K130" s="360"/>
      <c r="L130" s="315">
        <f t="shared" si="75"/>
        <v>0</v>
      </c>
      <c r="M130" s="56" t="e">
        <f t="shared" si="76"/>
        <v>#DIV/0!</v>
      </c>
      <c r="N130" s="56" t="e">
        <f t="shared" si="77"/>
        <v>#DIV/0!</v>
      </c>
      <c r="O130" s="56" t="e">
        <f t="shared" si="78"/>
        <v>#DIV/0!</v>
      </c>
      <c r="P130" s="305" t="e">
        <f t="shared" si="79"/>
        <v>#DIV/0!</v>
      </c>
      <c r="Q130" s="359"/>
      <c r="R130" s="305" t="e">
        <f t="shared" si="80"/>
        <v>#DIV/0!</v>
      </c>
      <c r="S130" s="94"/>
      <c r="T130" s="61"/>
      <c r="U130" s="48"/>
      <c r="V130" s="49"/>
    </row>
    <row r="131" spans="1:22" s="9" customFormat="1">
      <c r="A131" s="5"/>
      <c r="B131" s="334"/>
      <c r="C131" s="334"/>
      <c r="D131" s="44"/>
      <c r="E131" s="45" t="s">
        <v>424</v>
      </c>
      <c r="F131" s="46"/>
      <c r="G131" s="334">
        <f>SUM(G132:G135)</f>
        <v>0</v>
      </c>
      <c r="H131" s="334"/>
      <c r="I131" s="334"/>
      <c r="J131" s="334">
        <f t="shared" ref="J131:L131" si="82">SUM(J132:J135)</f>
        <v>0</v>
      </c>
      <c r="K131" s="334">
        <f t="shared" si="82"/>
        <v>0</v>
      </c>
      <c r="L131" s="334">
        <f t="shared" si="82"/>
        <v>0</v>
      </c>
      <c r="M131" s="335"/>
      <c r="N131" s="47"/>
      <c r="O131" s="47"/>
      <c r="P131" s="66"/>
      <c r="Q131" s="66"/>
      <c r="R131" s="66"/>
      <c r="S131" s="94"/>
      <c r="T131" s="122"/>
      <c r="U131" s="112"/>
      <c r="V131" s="114"/>
    </row>
    <row r="132" spans="1:22">
      <c r="B132" s="315"/>
      <c r="C132" s="315" t="s">
        <v>537</v>
      </c>
      <c r="D132" s="50"/>
      <c r="E132" s="52"/>
      <c r="F132" s="73" t="s">
        <v>425</v>
      </c>
      <c r="G132" s="360"/>
      <c r="H132" s="360"/>
      <c r="I132" s="360"/>
      <c r="J132" s="315">
        <f>G132+H132-I132</f>
        <v>0</v>
      </c>
      <c r="K132" s="360"/>
      <c r="L132" s="315">
        <f t="shared" ref="L132:L135" si="83">J132-K132</f>
        <v>0</v>
      </c>
      <c r="M132" s="56" t="e">
        <f t="shared" ref="M132:M135" si="84">L132/K132</f>
        <v>#DIV/0!</v>
      </c>
      <c r="N132" s="56" t="e">
        <f>G132/$N$12</f>
        <v>#DIV/0!</v>
      </c>
      <c r="O132" s="56" t="e">
        <f>G132/$O$12</f>
        <v>#DIV/0!</v>
      </c>
      <c r="P132" s="305" t="e">
        <f t="shared" ref="P132:P135" si="85">IF(ABS(O132)&gt;100%,"O","X")</f>
        <v>#DIV/0!</v>
      </c>
      <c r="Q132" s="359"/>
      <c r="R132" s="305" t="e">
        <f t="shared" ref="R132:R135" si="86">IF(P132="O","O",IF(Q132="O","O","X"))</f>
        <v>#DIV/0!</v>
      </c>
      <c r="S132" s="94"/>
      <c r="T132" s="61"/>
      <c r="U132" s="48"/>
      <c r="V132" s="49"/>
    </row>
    <row r="133" spans="1:22">
      <c r="B133" s="315"/>
      <c r="C133" s="315" t="s">
        <v>536</v>
      </c>
      <c r="D133" s="50"/>
      <c r="E133" s="52"/>
      <c r="F133" s="73" t="s">
        <v>426</v>
      </c>
      <c r="G133" s="360"/>
      <c r="H133" s="360"/>
      <c r="I133" s="360"/>
      <c r="J133" s="315">
        <f>G133+H133-I133</f>
        <v>0</v>
      </c>
      <c r="K133" s="360"/>
      <c r="L133" s="315">
        <f t="shared" si="83"/>
        <v>0</v>
      </c>
      <c r="M133" s="56" t="e">
        <f t="shared" si="84"/>
        <v>#DIV/0!</v>
      </c>
      <c r="N133" s="56" t="e">
        <f>G133/$N$12</f>
        <v>#DIV/0!</v>
      </c>
      <c r="O133" s="56" t="e">
        <f>G133/$O$12</f>
        <v>#DIV/0!</v>
      </c>
      <c r="P133" s="305" t="e">
        <f t="shared" si="85"/>
        <v>#DIV/0!</v>
      </c>
      <c r="Q133" s="359"/>
      <c r="R133" s="305" t="e">
        <f t="shared" si="86"/>
        <v>#DIV/0!</v>
      </c>
      <c r="S133" s="94"/>
      <c r="T133" s="61"/>
      <c r="U133" s="48"/>
      <c r="V133" s="49"/>
    </row>
    <row r="134" spans="1:22">
      <c r="B134" s="315"/>
      <c r="C134" s="315" t="s">
        <v>536</v>
      </c>
      <c r="D134" s="50"/>
      <c r="E134" s="52"/>
      <c r="F134" s="73" t="s">
        <v>142</v>
      </c>
      <c r="G134" s="360"/>
      <c r="H134" s="360"/>
      <c r="I134" s="360"/>
      <c r="J134" s="315">
        <f>G134+H134-I134</f>
        <v>0</v>
      </c>
      <c r="K134" s="360"/>
      <c r="L134" s="315">
        <f t="shared" si="83"/>
        <v>0</v>
      </c>
      <c r="M134" s="56" t="e">
        <f t="shared" si="84"/>
        <v>#DIV/0!</v>
      </c>
      <c r="N134" s="56" t="e">
        <f>G134/$N$12</f>
        <v>#DIV/0!</v>
      </c>
      <c r="O134" s="56" t="e">
        <f>G134/$O$12</f>
        <v>#DIV/0!</v>
      </c>
      <c r="P134" s="305" t="e">
        <f t="shared" si="85"/>
        <v>#DIV/0!</v>
      </c>
      <c r="Q134" s="359"/>
      <c r="R134" s="305" t="e">
        <f t="shared" si="86"/>
        <v>#DIV/0!</v>
      </c>
      <c r="S134" s="94"/>
      <c r="T134" s="61"/>
      <c r="U134" s="48"/>
      <c r="V134" s="49"/>
    </row>
    <row r="135" spans="1:22">
      <c r="B135" s="315"/>
      <c r="C135" s="315" t="s">
        <v>536</v>
      </c>
      <c r="D135" s="50"/>
      <c r="E135" s="52"/>
      <c r="F135" s="73" t="s">
        <v>427</v>
      </c>
      <c r="G135" s="360"/>
      <c r="H135" s="360"/>
      <c r="I135" s="360"/>
      <c r="J135" s="315">
        <f>G135+H135-I135</f>
        <v>0</v>
      </c>
      <c r="K135" s="360"/>
      <c r="L135" s="315">
        <f t="shared" si="83"/>
        <v>0</v>
      </c>
      <c r="M135" s="56" t="e">
        <f t="shared" si="84"/>
        <v>#DIV/0!</v>
      </c>
      <c r="N135" s="56" t="e">
        <f>G135/$N$12</f>
        <v>#DIV/0!</v>
      </c>
      <c r="O135" s="56" t="e">
        <f>G135/$O$12</f>
        <v>#DIV/0!</v>
      </c>
      <c r="P135" s="305" t="e">
        <f t="shared" si="85"/>
        <v>#DIV/0!</v>
      </c>
      <c r="Q135" s="359"/>
      <c r="R135" s="305" t="e">
        <f t="shared" si="86"/>
        <v>#DIV/0!</v>
      </c>
      <c r="S135" s="94"/>
      <c r="T135" s="61"/>
      <c r="U135" s="48"/>
      <c r="V135" s="49"/>
    </row>
    <row r="136" spans="1:22" s="9" customFormat="1">
      <c r="A136" s="5"/>
      <c r="B136" s="334"/>
      <c r="C136" s="334"/>
      <c r="D136" s="44"/>
      <c r="E136" s="45" t="s">
        <v>428</v>
      </c>
      <c r="F136" s="46"/>
      <c r="G136" s="334">
        <f>SUM(G137:G138)</f>
        <v>0</v>
      </c>
      <c r="H136" s="334"/>
      <c r="I136" s="334"/>
      <c r="J136" s="334">
        <f t="shared" ref="J136:L136" si="87">SUM(J137:J138)</f>
        <v>0</v>
      </c>
      <c r="K136" s="334">
        <f t="shared" si="87"/>
        <v>0</v>
      </c>
      <c r="L136" s="334">
        <f t="shared" si="87"/>
        <v>0</v>
      </c>
      <c r="M136" s="335"/>
      <c r="N136" s="47"/>
      <c r="O136" s="47"/>
      <c r="P136" s="66"/>
      <c r="Q136" s="66"/>
      <c r="R136" s="66"/>
      <c r="S136" s="94"/>
      <c r="T136" s="122"/>
      <c r="U136" s="112"/>
      <c r="V136" s="114"/>
    </row>
    <row r="137" spans="1:22">
      <c r="B137" s="315"/>
      <c r="C137" s="315" t="s">
        <v>537</v>
      </c>
      <c r="D137" s="50"/>
      <c r="E137" s="52"/>
      <c r="F137" s="73" t="s">
        <v>213</v>
      </c>
      <c r="G137" s="360"/>
      <c r="H137" s="360"/>
      <c r="I137" s="360"/>
      <c r="J137" s="315">
        <f>G137+H137-I137</f>
        <v>0</v>
      </c>
      <c r="K137" s="360"/>
      <c r="L137" s="315">
        <f t="shared" ref="L137:L138" si="88">J137-K137</f>
        <v>0</v>
      </c>
      <c r="M137" s="56" t="e">
        <f t="shared" ref="M137:M138" si="89">L137/K137</f>
        <v>#DIV/0!</v>
      </c>
      <c r="N137" s="56" t="e">
        <f>G137/$N$12</f>
        <v>#DIV/0!</v>
      </c>
      <c r="O137" s="56" t="e">
        <f>G137/$O$12</f>
        <v>#DIV/0!</v>
      </c>
      <c r="P137" s="305" t="e">
        <f t="shared" ref="P137:P138" si="90">IF(ABS(O137)&gt;100%,"O","X")</f>
        <v>#DIV/0!</v>
      </c>
      <c r="Q137" s="359"/>
      <c r="R137" s="305" t="e">
        <f t="shared" ref="R137:R138" si="91">IF(P137="O","O",IF(Q137="O","O","X"))</f>
        <v>#DIV/0!</v>
      </c>
      <c r="S137" s="94"/>
      <c r="T137" s="61"/>
      <c r="U137" s="48"/>
      <c r="V137" s="49"/>
    </row>
    <row r="138" spans="1:22">
      <c r="B138" s="315"/>
      <c r="C138" s="315" t="s">
        <v>536</v>
      </c>
      <c r="D138" s="50"/>
      <c r="E138" s="52"/>
      <c r="F138" s="73" t="s">
        <v>429</v>
      </c>
      <c r="G138" s="360"/>
      <c r="H138" s="360"/>
      <c r="I138" s="360"/>
      <c r="J138" s="315">
        <f>G138+H138-I138</f>
        <v>0</v>
      </c>
      <c r="K138" s="360"/>
      <c r="L138" s="315">
        <f t="shared" si="88"/>
        <v>0</v>
      </c>
      <c r="M138" s="56" t="e">
        <f t="shared" si="89"/>
        <v>#DIV/0!</v>
      </c>
      <c r="N138" s="56" t="e">
        <f>G138/$N$12</f>
        <v>#DIV/0!</v>
      </c>
      <c r="O138" s="56" t="e">
        <f>G138/$O$12</f>
        <v>#DIV/0!</v>
      </c>
      <c r="P138" s="305" t="e">
        <f t="shared" si="90"/>
        <v>#DIV/0!</v>
      </c>
      <c r="Q138" s="359"/>
      <c r="R138" s="305" t="e">
        <f t="shared" si="91"/>
        <v>#DIV/0!</v>
      </c>
      <c r="S138" s="94"/>
      <c r="T138" s="61"/>
      <c r="U138" s="48"/>
      <c r="V138" s="49"/>
    </row>
    <row r="139" spans="1:22" s="9" customFormat="1">
      <c r="A139" s="5"/>
      <c r="B139" s="334"/>
      <c r="C139" s="334"/>
      <c r="D139" s="44"/>
      <c r="E139" s="45" t="s">
        <v>430</v>
      </c>
      <c r="F139" s="46"/>
      <c r="G139" s="334">
        <f>SUM(G140)</f>
        <v>0</v>
      </c>
      <c r="H139" s="334"/>
      <c r="I139" s="334"/>
      <c r="J139" s="334">
        <f t="shared" ref="J139:L139" si="92">SUM(J140)</f>
        <v>0</v>
      </c>
      <c r="K139" s="334">
        <f t="shared" si="92"/>
        <v>0</v>
      </c>
      <c r="L139" s="334">
        <f t="shared" si="92"/>
        <v>0</v>
      </c>
      <c r="M139" s="335"/>
      <c r="N139" s="47"/>
      <c r="O139" s="47"/>
      <c r="P139" s="66"/>
      <c r="Q139" s="66"/>
      <c r="R139" s="66"/>
      <c r="S139" s="94"/>
      <c r="T139" s="122"/>
      <c r="U139" s="112"/>
      <c r="V139" s="114"/>
    </row>
    <row r="140" spans="1:22">
      <c r="B140" s="315"/>
      <c r="C140" s="315" t="s">
        <v>536</v>
      </c>
      <c r="D140" s="50"/>
      <c r="E140" s="52"/>
      <c r="F140" s="73" t="s">
        <v>431</v>
      </c>
      <c r="G140" s="360"/>
      <c r="H140" s="360"/>
      <c r="I140" s="360"/>
      <c r="J140" s="315">
        <f>G140+H140-I140</f>
        <v>0</v>
      </c>
      <c r="K140" s="360"/>
      <c r="L140" s="315">
        <f>J140-K140</f>
        <v>0</v>
      </c>
      <c r="M140" s="56" t="e">
        <f t="shared" ref="M140" si="93">L140/K140</f>
        <v>#DIV/0!</v>
      </c>
      <c r="N140" s="56" t="e">
        <f>G140/$N$12</f>
        <v>#DIV/0!</v>
      </c>
      <c r="O140" s="56" t="e">
        <f>G140/$O$12</f>
        <v>#DIV/0!</v>
      </c>
      <c r="P140" s="305" t="e">
        <f>IF(ABS(O140)&gt;100%,"O","X")</f>
        <v>#DIV/0!</v>
      </c>
      <c r="Q140" s="359"/>
      <c r="R140" s="305" t="e">
        <f>IF(P140="O","O",IF(Q140="O","O","X"))</f>
        <v>#DIV/0!</v>
      </c>
      <c r="S140" s="94"/>
      <c r="T140" s="61"/>
      <c r="U140" s="48"/>
      <c r="V140" s="49"/>
    </row>
    <row r="141" spans="1:22" s="9" customFormat="1">
      <c r="A141" s="5"/>
      <c r="B141" s="334"/>
      <c r="C141" s="334"/>
      <c r="D141" s="44"/>
      <c r="E141" s="45" t="s">
        <v>432</v>
      </c>
      <c r="F141" s="46"/>
      <c r="G141" s="334">
        <f>SUM(G142:G143)</f>
        <v>0</v>
      </c>
      <c r="H141" s="334"/>
      <c r="I141" s="334"/>
      <c r="J141" s="334">
        <f t="shared" ref="J141:L141" si="94">SUM(J142:J143)</f>
        <v>0</v>
      </c>
      <c r="K141" s="334">
        <f t="shared" si="94"/>
        <v>0</v>
      </c>
      <c r="L141" s="334">
        <f t="shared" si="94"/>
        <v>0</v>
      </c>
      <c r="M141" s="335"/>
      <c r="N141" s="47"/>
      <c r="O141" s="47"/>
      <c r="P141" s="66"/>
      <c r="Q141" s="66"/>
      <c r="R141" s="66"/>
      <c r="S141" s="94"/>
      <c r="T141" s="122"/>
      <c r="U141" s="112"/>
      <c r="V141" s="114"/>
    </row>
    <row r="142" spans="1:22">
      <c r="B142" s="315"/>
      <c r="C142" s="315" t="s">
        <v>535</v>
      </c>
      <c r="D142" s="50"/>
      <c r="E142" s="52"/>
      <c r="F142" s="73" t="s">
        <v>433</v>
      </c>
      <c r="G142" s="360"/>
      <c r="H142" s="360"/>
      <c r="I142" s="360"/>
      <c r="J142" s="315">
        <f>G142+H142-I142</f>
        <v>0</v>
      </c>
      <c r="K142" s="360"/>
      <c r="L142" s="315">
        <f t="shared" ref="L142:L143" si="95">J142-K142</f>
        <v>0</v>
      </c>
      <c r="M142" s="56" t="e">
        <f t="shared" ref="M142:M143" si="96">L142/K142</f>
        <v>#DIV/0!</v>
      </c>
      <c r="N142" s="56" t="e">
        <f>G142/$N$12</f>
        <v>#DIV/0!</v>
      </c>
      <c r="O142" s="56" t="e">
        <f>G142/$O$12</f>
        <v>#DIV/0!</v>
      </c>
      <c r="P142" s="305" t="e">
        <f t="shared" ref="P142:P143" si="97">IF(ABS(O142)&gt;100%,"O","X")</f>
        <v>#DIV/0!</v>
      </c>
      <c r="Q142" s="359"/>
      <c r="R142" s="305" t="e">
        <f t="shared" ref="R142:R143" si="98">IF(P142="O","O",IF(Q142="O","O","X"))</f>
        <v>#DIV/0!</v>
      </c>
      <c r="S142" s="94"/>
      <c r="T142" s="61"/>
      <c r="U142" s="48"/>
      <c r="V142" s="49"/>
    </row>
    <row r="143" spans="1:22">
      <c r="B143" s="315"/>
      <c r="C143" s="315" t="s">
        <v>534</v>
      </c>
      <c r="D143" s="50"/>
      <c r="E143" s="52"/>
      <c r="F143" s="73" t="s">
        <v>61</v>
      </c>
      <c r="G143" s="360"/>
      <c r="H143" s="360"/>
      <c r="I143" s="360"/>
      <c r="J143" s="315">
        <f>G143+H143-I143</f>
        <v>0</v>
      </c>
      <c r="K143" s="360"/>
      <c r="L143" s="315">
        <f t="shared" si="95"/>
        <v>0</v>
      </c>
      <c r="M143" s="56" t="e">
        <f t="shared" si="96"/>
        <v>#DIV/0!</v>
      </c>
      <c r="N143" s="56" t="e">
        <f>G143/$N$12</f>
        <v>#DIV/0!</v>
      </c>
      <c r="O143" s="56" t="e">
        <f>G143/$O$12</f>
        <v>#DIV/0!</v>
      </c>
      <c r="P143" s="305" t="e">
        <f t="shared" si="97"/>
        <v>#DIV/0!</v>
      </c>
      <c r="Q143" s="359"/>
      <c r="R143" s="305" t="e">
        <f t="shared" si="98"/>
        <v>#DIV/0!</v>
      </c>
      <c r="S143" s="94"/>
      <c r="T143" s="61"/>
      <c r="U143" s="48"/>
      <c r="V143" s="49"/>
    </row>
    <row r="144" spans="1:22" s="9" customFormat="1">
      <c r="A144" s="5"/>
      <c r="B144" s="334"/>
      <c r="C144" s="334"/>
      <c r="D144" s="44"/>
      <c r="E144" s="45" t="s">
        <v>434</v>
      </c>
      <c r="F144" s="46"/>
      <c r="G144" s="334">
        <f>SUM(G145)</f>
        <v>0</v>
      </c>
      <c r="H144" s="334"/>
      <c r="I144" s="334"/>
      <c r="J144" s="334">
        <f t="shared" ref="J144:L144" si="99">SUM(J145)</f>
        <v>0</v>
      </c>
      <c r="K144" s="334">
        <f t="shared" si="99"/>
        <v>0</v>
      </c>
      <c r="L144" s="334">
        <f t="shared" si="99"/>
        <v>0</v>
      </c>
      <c r="M144" s="335"/>
      <c r="N144" s="47"/>
      <c r="O144" s="47"/>
      <c r="P144" s="66"/>
      <c r="Q144" s="66"/>
      <c r="R144" s="66"/>
      <c r="S144" s="94"/>
      <c r="T144" s="122"/>
      <c r="U144" s="112"/>
      <c r="V144" s="114"/>
    </row>
    <row r="145" spans="1:22">
      <c r="B145" s="315"/>
      <c r="C145" s="315" t="s">
        <v>538</v>
      </c>
      <c r="D145" s="50"/>
      <c r="E145" s="52"/>
      <c r="F145" s="73" t="s">
        <v>435</v>
      </c>
      <c r="G145" s="360"/>
      <c r="H145" s="360"/>
      <c r="I145" s="360"/>
      <c r="J145" s="315">
        <f>G145+H145-I145</f>
        <v>0</v>
      </c>
      <c r="K145" s="360"/>
      <c r="L145" s="315">
        <f>J145-K145</f>
        <v>0</v>
      </c>
      <c r="M145" s="56" t="e">
        <f t="shared" ref="M145" si="100">L145/K145</f>
        <v>#DIV/0!</v>
      </c>
      <c r="N145" s="56" t="e">
        <f>G145/$N$12</f>
        <v>#DIV/0!</v>
      </c>
      <c r="O145" s="56" t="e">
        <f>G145/$O$12</f>
        <v>#DIV/0!</v>
      </c>
      <c r="P145" s="305" t="e">
        <f>IF(ABS(O145)&gt;100%,"O","X")</f>
        <v>#DIV/0!</v>
      </c>
      <c r="Q145" s="359"/>
      <c r="R145" s="305" t="e">
        <f>IF(P145="O","O",IF(Q145="O","O","X"))</f>
        <v>#DIV/0!</v>
      </c>
      <c r="S145" s="94"/>
      <c r="T145" s="61"/>
      <c r="U145" s="48"/>
      <c r="V145" s="49"/>
    </row>
    <row r="146" spans="1:22" s="9" customFormat="1">
      <c r="A146" s="5"/>
      <c r="B146" s="332"/>
      <c r="C146" s="332"/>
      <c r="D146" s="44" t="s">
        <v>436</v>
      </c>
      <c r="E146" s="45"/>
      <c r="F146" s="46"/>
      <c r="G146" s="332">
        <f>SUM(G147,G151,G167,G170,G173,G175)</f>
        <v>0</v>
      </c>
      <c r="H146" s="332"/>
      <c r="I146" s="332"/>
      <c r="J146" s="332">
        <f>SUM(J147,J151,J167,J170,J173,J175)</f>
        <v>0</v>
      </c>
      <c r="K146" s="332">
        <f>SUM(K147,K151,K167,K170,K173,K175)</f>
        <v>0</v>
      </c>
      <c r="L146" s="332">
        <f>SUM(L147,L151,L167,L170,L173,L175)</f>
        <v>0</v>
      </c>
      <c r="M146" s="333"/>
      <c r="N146" s="47"/>
      <c r="O146" s="47"/>
      <c r="P146" s="66"/>
      <c r="Q146" s="66"/>
      <c r="R146" s="66"/>
      <c r="S146" s="94"/>
      <c r="T146" s="122"/>
      <c r="U146" s="112"/>
      <c r="V146" s="114"/>
    </row>
    <row r="147" spans="1:22" s="9" customFormat="1">
      <c r="A147" s="5"/>
      <c r="B147" s="334"/>
      <c r="C147" s="334"/>
      <c r="D147" s="44"/>
      <c r="E147" s="45" t="s">
        <v>437</v>
      </c>
      <c r="F147" s="46"/>
      <c r="G147" s="334">
        <f>SUM(G148:G150)</f>
        <v>0</v>
      </c>
      <c r="H147" s="334"/>
      <c r="I147" s="334"/>
      <c r="J147" s="334">
        <f t="shared" ref="J147:L147" si="101">SUM(J148:J150)</f>
        <v>0</v>
      </c>
      <c r="K147" s="334">
        <f t="shared" si="101"/>
        <v>0</v>
      </c>
      <c r="L147" s="334">
        <f t="shared" si="101"/>
        <v>0</v>
      </c>
      <c r="M147" s="335"/>
      <c r="N147" s="47"/>
      <c r="O147" s="47"/>
      <c r="P147" s="66"/>
      <c r="Q147" s="66"/>
      <c r="R147" s="66"/>
      <c r="S147" s="94"/>
      <c r="T147" s="122"/>
      <c r="U147" s="112"/>
      <c r="V147" s="114"/>
    </row>
    <row r="148" spans="1:22">
      <c r="B148" s="315"/>
      <c r="C148" s="315" t="s">
        <v>568</v>
      </c>
      <c r="D148" s="50"/>
      <c r="E148" s="52"/>
      <c r="F148" s="73" t="s">
        <v>212</v>
      </c>
      <c r="G148" s="360"/>
      <c r="H148" s="360"/>
      <c r="I148" s="360"/>
      <c r="J148" s="315">
        <f>G148+H148-I148</f>
        <v>0</v>
      </c>
      <c r="K148" s="360"/>
      <c r="L148" s="315">
        <f t="shared" ref="L148:L150" si="102">J148-K148</f>
        <v>0</v>
      </c>
      <c r="M148" s="56" t="e">
        <f t="shared" ref="M148:M150" si="103">L148/K148</f>
        <v>#DIV/0!</v>
      </c>
      <c r="N148" s="56" t="e">
        <f>G148/$N$12</f>
        <v>#DIV/0!</v>
      </c>
      <c r="O148" s="56" t="e">
        <f>G148/$O$12</f>
        <v>#DIV/0!</v>
      </c>
      <c r="P148" s="305" t="e">
        <f t="shared" ref="P148:P150" si="104">IF(ABS(O148)&gt;100%,"O","X")</f>
        <v>#DIV/0!</v>
      </c>
      <c r="Q148" s="359"/>
      <c r="R148" s="305" t="e">
        <f t="shared" ref="R148:R150" si="105">IF(P148="O","O",IF(Q148="O","O","X"))</f>
        <v>#DIV/0!</v>
      </c>
      <c r="S148" s="94"/>
      <c r="T148" s="61"/>
      <c r="U148" s="48"/>
      <c r="V148" s="49"/>
    </row>
    <row r="149" spans="1:22">
      <c r="B149" s="315"/>
      <c r="C149" s="315" t="s">
        <v>567</v>
      </c>
      <c r="D149" s="50"/>
      <c r="E149" s="52"/>
      <c r="F149" s="73" t="s">
        <v>438</v>
      </c>
      <c r="G149" s="360"/>
      <c r="H149" s="360"/>
      <c r="I149" s="360"/>
      <c r="J149" s="315">
        <f>G149+H149-I149</f>
        <v>0</v>
      </c>
      <c r="K149" s="360"/>
      <c r="L149" s="315">
        <f t="shared" si="102"/>
        <v>0</v>
      </c>
      <c r="M149" s="56" t="e">
        <f t="shared" si="103"/>
        <v>#DIV/0!</v>
      </c>
      <c r="N149" s="56" t="e">
        <f>G149/$N$12</f>
        <v>#DIV/0!</v>
      </c>
      <c r="O149" s="56" t="e">
        <f>G149/$O$12</f>
        <v>#DIV/0!</v>
      </c>
      <c r="P149" s="305" t="e">
        <f t="shared" si="104"/>
        <v>#DIV/0!</v>
      </c>
      <c r="Q149" s="359"/>
      <c r="R149" s="305" t="e">
        <f t="shared" si="105"/>
        <v>#DIV/0!</v>
      </c>
      <c r="S149" s="94"/>
      <c r="T149" s="61"/>
      <c r="U149" s="48"/>
      <c r="V149" s="49"/>
    </row>
    <row r="150" spans="1:22">
      <c r="B150" s="315"/>
      <c r="C150" s="315" t="s">
        <v>567</v>
      </c>
      <c r="D150" s="50"/>
      <c r="E150" s="52"/>
      <c r="F150" s="73" t="s">
        <v>439</v>
      </c>
      <c r="G150" s="360"/>
      <c r="H150" s="360"/>
      <c r="I150" s="360"/>
      <c r="J150" s="315">
        <f>G150+H150-I150</f>
        <v>0</v>
      </c>
      <c r="K150" s="360"/>
      <c r="L150" s="315">
        <f t="shared" si="102"/>
        <v>0</v>
      </c>
      <c r="M150" s="56" t="e">
        <f t="shared" si="103"/>
        <v>#DIV/0!</v>
      </c>
      <c r="N150" s="56" t="e">
        <f>G150/$N$12</f>
        <v>#DIV/0!</v>
      </c>
      <c r="O150" s="56" t="e">
        <f>G150/$O$12</f>
        <v>#DIV/0!</v>
      </c>
      <c r="P150" s="305" t="e">
        <f t="shared" si="104"/>
        <v>#DIV/0!</v>
      </c>
      <c r="Q150" s="359"/>
      <c r="R150" s="305" t="e">
        <f t="shared" si="105"/>
        <v>#DIV/0!</v>
      </c>
      <c r="S150" s="94"/>
      <c r="T150" s="61"/>
      <c r="U150" s="48"/>
      <c r="V150" s="49"/>
    </row>
    <row r="151" spans="1:22" s="9" customFormat="1">
      <c r="A151" s="5"/>
      <c r="B151" s="334"/>
      <c r="C151" s="334"/>
      <c r="D151" s="44"/>
      <c r="E151" s="45" t="s">
        <v>411</v>
      </c>
      <c r="F151" s="46"/>
      <c r="G151" s="334">
        <f>SUM(G152:G166)</f>
        <v>0</v>
      </c>
      <c r="H151" s="334"/>
      <c r="I151" s="334"/>
      <c r="J151" s="334">
        <f t="shared" ref="J151:L151" si="106">SUM(J152:J166)</f>
        <v>0</v>
      </c>
      <c r="K151" s="334">
        <f t="shared" si="106"/>
        <v>0</v>
      </c>
      <c r="L151" s="334">
        <f t="shared" si="106"/>
        <v>0</v>
      </c>
      <c r="M151" s="335"/>
      <c r="N151" s="47"/>
      <c r="O151" s="47"/>
      <c r="P151" s="66"/>
      <c r="Q151" s="66"/>
      <c r="R151" s="66"/>
      <c r="S151" s="94"/>
      <c r="T151" s="122"/>
      <c r="U151" s="112"/>
      <c r="V151" s="114"/>
    </row>
    <row r="152" spans="1:22">
      <c r="B152" s="315"/>
      <c r="C152" s="315" t="s">
        <v>570</v>
      </c>
      <c r="D152" s="50"/>
      <c r="E152" s="52"/>
      <c r="F152" s="73" t="s">
        <v>440</v>
      </c>
      <c r="G152" s="360"/>
      <c r="H152" s="360"/>
      <c r="I152" s="360"/>
      <c r="J152" s="315">
        <f t="shared" ref="J152:J166" si="107">G152+H152-I152</f>
        <v>0</v>
      </c>
      <c r="K152" s="360"/>
      <c r="L152" s="315">
        <f t="shared" ref="L152:L166" si="108">J152-K152</f>
        <v>0</v>
      </c>
      <c r="M152" s="56" t="e">
        <f t="shared" ref="M152:M166" si="109">L152/K152</f>
        <v>#DIV/0!</v>
      </c>
      <c r="N152" s="56" t="e">
        <f t="shared" ref="N152:N166" si="110">G152/$N$12</f>
        <v>#DIV/0!</v>
      </c>
      <c r="O152" s="56" t="e">
        <f t="shared" ref="O152:O166" si="111">G152/$O$12</f>
        <v>#DIV/0!</v>
      </c>
      <c r="P152" s="305" t="e">
        <f t="shared" ref="P152:P166" si="112">IF(ABS(O152)&gt;100%,"O","X")</f>
        <v>#DIV/0!</v>
      </c>
      <c r="Q152" s="359"/>
      <c r="R152" s="305" t="e">
        <f t="shared" ref="R152:R166" si="113">IF(P152="O","O",IF(Q152="O","O","X"))</f>
        <v>#DIV/0!</v>
      </c>
      <c r="S152" s="94"/>
      <c r="T152" s="61"/>
      <c r="U152" s="48"/>
      <c r="V152" s="49"/>
    </row>
    <row r="153" spans="1:22">
      <c r="B153" s="315"/>
      <c r="C153" s="315" t="s">
        <v>569</v>
      </c>
      <c r="D153" s="50"/>
      <c r="E153" s="52"/>
      <c r="F153" s="73" t="s">
        <v>413</v>
      </c>
      <c r="G153" s="360"/>
      <c r="H153" s="360"/>
      <c r="I153" s="360"/>
      <c r="J153" s="315">
        <f t="shared" si="107"/>
        <v>0</v>
      </c>
      <c r="K153" s="360"/>
      <c r="L153" s="315">
        <f t="shared" si="108"/>
        <v>0</v>
      </c>
      <c r="M153" s="56" t="e">
        <f t="shared" si="109"/>
        <v>#DIV/0!</v>
      </c>
      <c r="N153" s="56" t="e">
        <f t="shared" si="110"/>
        <v>#DIV/0!</v>
      </c>
      <c r="O153" s="56" t="e">
        <f t="shared" si="111"/>
        <v>#DIV/0!</v>
      </c>
      <c r="P153" s="305" t="e">
        <f t="shared" si="112"/>
        <v>#DIV/0!</v>
      </c>
      <c r="Q153" s="359"/>
      <c r="R153" s="305" t="e">
        <f t="shared" si="113"/>
        <v>#DIV/0!</v>
      </c>
      <c r="S153" s="94"/>
      <c r="T153" s="61"/>
      <c r="U153" s="48"/>
      <c r="V153" s="49"/>
    </row>
    <row r="154" spans="1:22">
      <c r="B154" s="315"/>
      <c r="C154" s="315" t="s">
        <v>569</v>
      </c>
      <c r="D154" s="50"/>
      <c r="E154" s="52"/>
      <c r="F154" s="73" t="s">
        <v>414</v>
      </c>
      <c r="G154" s="358"/>
      <c r="H154" s="360"/>
      <c r="I154" s="360"/>
      <c r="J154" s="55">
        <f t="shared" si="107"/>
        <v>0</v>
      </c>
      <c r="K154" s="358"/>
      <c r="L154" s="315">
        <f t="shared" si="108"/>
        <v>0</v>
      </c>
      <c r="M154" s="56" t="e">
        <f t="shared" si="109"/>
        <v>#DIV/0!</v>
      </c>
      <c r="N154" s="56" t="e">
        <f t="shared" si="110"/>
        <v>#DIV/0!</v>
      </c>
      <c r="O154" s="56" t="e">
        <f t="shared" si="111"/>
        <v>#DIV/0!</v>
      </c>
      <c r="P154" s="305" t="e">
        <f t="shared" si="112"/>
        <v>#DIV/0!</v>
      </c>
      <c r="Q154" s="359"/>
      <c r="R154" s="305" t="e">
        <f t="shared" si="113"/>
        <v>#DIV/0!</v>
      </c>
      <c r="S154" s="94"/>
      <c r="T154" s="61"/>
      <c r="U154" s="48"/>
      <c r="V154" s="49"/>
    </row>
    <row r="155" spans="1:22">
      <c r="B155" s="315"/>
      <c r="C155" s="315" t="s">
        <v>569</v>
      </c>
      <c r="D155" s="50"/>
      <c r="E155" s="52"/>
      <c r="F155" s="73" t="s">
        <v>415</v>
      </c>
      <c r="G155" s="360"/>
      <c r="H155" s="360"/>
      <c r="I155" s="360"/>
      <c r="J155" s="315">
        <f t="shared" si="107"/>
        <v>0</v>
      </c>
      <c r="K155" s="360"/>
      <c r="L155" s="315">
        <f t="shared" si="108"/>
        <v>0</v>
      </c>
      <c r="M155" s="56" t="e">
        <f t="shared" si="109"/>
        <v>#DIV/0!</v>
      </c>
      <c r="N155" s="56" t="e">
        <f t="shared" si="110"/>
        <v>#DIV/0!</v>
      </c>
      <c r="O155" s="56" t="e">
        <f t="shared" si="111"/>
        <v>#DIV/0!</v>
      </c>
      <c r="P155" s="305" t="e">
        <f t="shared" si="112"/>
        <v>#DIV/0!</v>
      </c>
      <c r="Q155" s="359"/>
      <c r="R155" s="305" t="e">
        <f t="shared" si="113"/>
        <v>#DIV/0!</v>
      </c>
      <c r="S155" s="94"/>
      <c r="T155" s="61"/>
      <c r="U155" s="48"/>
      <c r="V155" s="49"/>
    </row>
    <row r="156" spans="1:22">
      <c r="B156" s="315"/>
      <c r="C156" s="315" t="s">
        <v>569</v>
      </c>
      <c r="D156" s="50"/>
      <c r="E156" s="52"/>
      <c r="F156" s="73" t="s">
        <v>416</v>
      </c>
      <c r="G156" s="360"/>
      <c r="H156" s="360"/>
      <c r="I156" s="360"/>
      <c r="J156" s="315">
        <f t="shared" si="107"/>
        <v>0</v>
      </c>
      <c r="K156" s="360"/>
      <c r="L156" s="315">
        <f t="shared" si="108"/>
        <v>0</v>
      </c>
      <c r="M156" s="56" t="e">
        <f t="shared" si="109"/>
        <v>#DIV/0!</v>
      </c>
      <c r="N156" s="56" t="e">
        <f t="shared" si="110"/>
        <v>#DIV/0!</v>
      </c>
      <c r="O156" s="56" t="e">
        <f t="shared" si="111"/>
        <v>#DIV/0!</v>
      </c>
      <c r="P156" s="305" t="e">
        <f t="shared" si="112"/>
        <v>#DIV/0!</v>
      </c>
      <c r="Q156" s="359"/>
      <c r="R156" s="305" t="e">
        <f t="shared" si="113"/>
        <v>#DIV/0!</v>
      </c>
      <c r="S156" s="94"/>
      <c r="T156" s="61"/>
      <c r="U156" s="48"/>
      <c r="V156" s="49"/>
    </row>
    <row r="157" spans="1:22">
      <c r="B157" s="315"/>
      <c r="C157" s="315" t="s">
        <v>569</v>
      </c>
      <c r="D157" s="50"/>
      <c r="E157" s="52"/>
      <c r="F157" s="73" t="s">
        <v>417</v>
      </c>
      <c r="G157" s="360"/>
      <c r="H157" s="360"/>
      <c r="I157" s="360"/>
      <c r="J157" s="315">
        <f t="shared" si="107"/>
        <v>0</v>
      </c>
      <c r="K157" s="360"/>
      <c r="L157" s="315">
        <f t="shared" si="108"/>
        <v>0</v>
      </c>
      <c r="M157" s="56" t="e">
        <f t="shared" si="109"/>
        <v>#DIV/0!</v>
      </c>
      <c r="N157" s="56" t="e">
        <f t="shared" si="110"/>
        <v>#DIV/0!</v>
      </c>
      <c r="O157" s="56" t="e">
        <f t="shared" si="111"/>
        <v>#DIV/0!</v>
      </c>
      <c r="P157" s="305" t="e">
        <f t="shared" si="112"/>
        <v>#DIV/0!</v>
      </c>
      <c r="Q157" s="359"/>
      <c r="R157" s="305" t="e">
        <f t="shared" si="113"/>
        <v>#DIV/0!</v>
      </c>
      <c r="S157" s="94"/>
      <c r="T157" s="61"/>
      <c r="U157" s="48"/>
      <c r="V157" s="49"/>
    </row>
    <row r="158" spans="1:22">
      <c r="B158" s="315"/>
      <c r="C158" s="315" t="s">
        <v>569</v>
      </c>
      <c r="D158" s="50"/>
      <c r="E158" s="52"/>
      <c r="F158" s="73" t="s">
        <v>414</v>
      </c>
      <c r="G158" s="360"/>
      <c r="H158" s="360"/>
      <c r="I158" s="360"/>
      <c r="J158" s="315">
        <f t="shared" si="107"/>
        <v>0</v>
      </c>
      <c r="K158" s="360"/>
      <c r="L158" s="315">
        <f t="shared" si="108"/>
        <v>0</v>
      </c>
      <c r="M158" s="56" t="e">
        <f t="shared" si="109"/>
        <v>#DIV/0!</v>
      </c>
      <c r="N158" s="56" t="e">
        <f t="shared" si="110"/>
        <v>#DIV/0!</v>
      </c>
      <c r="O158" s="56" t="e">
        <f t="shared" si="111"/>
        <v>#DIV/0!</v>
      </c>
      <c r="P158" s="305" t="e">
        <f t="shared" si="112"/>
        <v>#DIV/0!</v>
      </c>
      <c r="Q158" s="359"/>
      <c r="R158" s="305" t="e">
        <f t="shared" si="113"/>
        <v>#DIV/0!</v>
      </c>
      <c r="S158" s="94"/>
      <c r="T158" s="61"/>
      <c r="U158" s="48"/>
      <c r="V158" s="49"/>
    </row>
    <row r="159" spans="1:22">
      <c r="B159" s="315"/>
      <c r="C159" s="315" t="s">
        <v>569</v>
      </c>
      <c r="D159" s="50"/>
      <c r="E159" s="52"/>
      <c r="F159" s="73" t="s">
        <v>418</v>
      </c>
      <c r="G159" s="360"/>
      <c r="H159" s="360"/>
      <c r="I159" s="360"/>
      <c r="J159" s="315">
        <f t="shared" si="107"/>
        <v>0</v>
      </c>
      <c r="K159" s="360"/>
      <c r="L159" s="315">
        <f t="shared" si="108"/>
        <v>0</v>
      </c>
      <c r="M159" s="56" t="e">
        <f t="shared" si="109"/>
        <v>#DIV/0!</v>
      </c>
      <c r="N159" s="56" t="e">
        <f t="shared" si="110"/>
        <v>#DIV/0!</v>
      </c>
      <c r="O159" s="56" t="e">
        <f t="shared" si="111"/>
        <v>#DIV/0!</v>
      </c>
      <c r="P159" s="305" t="e">
        <f t="shared" si="112"/>
        <v>#DIV/0!</v>
      </c>
      <c r="Q159" s="359"/>
      <c r="R159" s="305" t="e">
        <f t="shared" si="113"/>
        <v>#DIV/0!</v>
      </c>
      <c r="S159" s="94"/>
      <c r="T159" s="61"/>
      <c r="U159" s="48"/>
      <c r="V159" s="49"/>
    </row>
    <row r="160" spans="1:22">
      <c r="B160" s="315"/>
      <c r="C160" s="315" t="s">
        <v>569</v>
      </c>
      <c r="D160" s="50"/>
      <c r="E160" s="52"/>
      <c r="F160" s="73" t="s">
        <v>419</v>
      </c>
      <c r="G160" s="360"/>
      <c r="H160" s="360"/>
      <c r="I160" s="360"/>
      <c r="J160" s="315">
        <f t="shared" si="107"/>
        <v>0</v>
      </c>
      <c r="K160" s="360"/>
      <c r="L160" s="315">
        <f t="shared" si="108"/>
        <v>0</v>
      </c>
      <c r="M160" s="56" t="e">
        <f t="shared" si="109"/>
        <v>#DIV/0!</v>
      </c>
      <c r="N160" s="56" t="e">
        <f t="shared" si="110"/>
        <v>#DIV/0!</v>
      </c>
      <c r="O160" s="56" t="e">
        <f t="shared" si="111"/>
        <v>#DIV/0!</v>
      </c>
      <c r="P160" s="305" t="e">
        <f t="shared" si="112"/>
        <v>#DIV/0!</v>
      </c>
      <c r="Q160" s="359"/>
      <c r="R160" s="305" t="e">
        <f t="shared" si="113"/>
        <v>#DIV/0!</v>
      </c>
      <c r="S160" s="94"/>
      <c r="T160" s="61"/>
      <c r="U160" s="48"/>
      <c r="V160" s="49"/>
    </row>
    <row r="161" spans="1:22">
      <c r="B161" s="315"/>
      <c r="C161" s="315" t="s">
        <v>569</v>
      </c>
      <c r="D161" s="50"/>
      <c r="E161" s="52"/>
      <c r="F161" s="73" t="s">
        <v>420</v>
      </c>
      <c r="G161" s="360"/>
      <c r="H161" s="360"/>
      <c r="I161" s="360"/>
      <c r="J161" s="315">
        <f t="shared" si="107"/>
        <v>0</v>
      </c>
      <c r="K161" s="360"/>
      <c r="L161" s="315">
        <f t="shared" si="108"/>
        <v>0</v>
      </c>
      <c r="M161" s="56" t="e">
        <f t="shared" si="109"/>
        <v>#DIV/0!</v>
      </c>
      <c r="N161" s="56" t="e">
        <f t="shared" si="110"/>
        <v>#DIV/0!</v>
      </c>
      <c r="O161" s="56" t="e">
        <f t="shared" si="111"/>
        <v>#DIV/0!</v>
      </c>
      <c r="P161" s="305" t="e">
        <f t="shared" si="112"/>
        <v>#DIV/0!</v>
      </c>
      <c r="Q161" s="359"/>
      <c r="R161" s="305" t="e">
        <f t="shared" si="113"/>
        <v>#DIV/0!</v>
      </c>
      <c r="S161" s="94"/>
      <c r="T161" s="61"/>
      <c r="U161" s="48"/>
      <c r="V161" s="49"/>
    </row>
    <row r="162" spans="1:22">
      <c r="B162" s="315"/>
      <c r="C162" s="315" t="s">
        <v>569</v>
      </c>
      <c r="D162" s="50"/>
      <c r="E162" s="52"/>
      <c r="F162" s="73" t="s">
        <v>414</v>
      </c>
      <c r="G162" s="360"/>
      <c r="H162" s="360"/>
      <c r="I162" s="360"/>
      <c r="J162" s="315">
        <f t="shared" si="107"/>
        <v>0</v>
      </c>
      <c r="K162" s="360"/>
      <c r="L162" s="315">
        <f t="shared" si="108"/>
        <v>0</v>
      </c>
      <c r="M162" s="56" t="e">
        <f t="shared" si="109"/>
        <v>#DIV/0!</v>
      </c>
      <c r="N162" s="56" t="e">
        <f t="shared" si="110"/>
        <v>#DIV/0!</v>
      </c>
      <c r="O162" s="56" t="e">
        <f t="shared" si="111"/>
        <v>#DIV/0!</v>
      </c>
      <c r="P162" s="305" t="e">
        <f t="shared" si="112"/>
        <v>#DIV/0!</v>
      </c>
      <c r="Q162" s="359"/>
      <c r="R162" s="305" t="e">
        <f t="shared" si="113"/>
        <v>#DIV/0!</v>
      </c>
      <c r="S162" s="94"/>
      <c r="T162" s="61"/>
      <c r="U162" s="48"/>
      <c r="V162" s="49"/>
    </row>
    <row r="163" spans="1:22">
      <c r="B163" s="315"/>
      <c r="C163" s="315" t="s">
        <v>569</v>
      </c>
      <c r="D163" s="50"/>
      <c r="E163" s="52"/>
      <c r="F163" s="73" t="s">
        <v>421</v>
      </c>
      <c r="G163" s="360"/>
      <c r="H163" s="360"/>
      <c r="I163" s="360"/>
      <c r="J163" s="315">
        <f t="shared" si="107"/>
        <v>0</v>
      </c>
      <c r="K163" s="360"/>
      <c r="L163" s="315">
        <f t="shared" si="108"/>
        <v>0</v>
      </c>
      <c r="M163" s="56" t="e">
        <f t="shared" si="109"/>
        <v>#DIV/0!</v>
      </c>
      <c r="N163" s="56" t="e">
        <f t="shared" si="110"/>
        <v>#DIV/0!</v>
      </c>
      <c r="O163" s="56" t="e">
        <f t="shared" si="111"/>
        <v>#DIV/0!</v>
      </c>
      <c r="P163" s="305" t="e">
        <f t="shared" si="112"/>
        <v>#DIV/0!</v>
      </c>
      <c r="Q163" s="359"/>
      <c r="R163" s="305" t="e">
        <f t="shared" si="113"/>
        <v>#DIV/0!</v>
      </c>
      <c r="S163" s="94"/>
      <c r="T163" s="61"/>
      <c r="U163" s="48"/>
      <c r="V163" s="49"/>
    </row>
    <row r="164" spans="1:22">
      <c r="B164" s="315"/>
      <c r="C164" s="315" t="s">
        <v>569</v>
      </c>
      <c r="D164" s="50"/>
      <c r="E164" s="52"/>
      <c r="F164" s="73" t="s">
        <v>422</v>
      </c>
      <c r="G164" s="360"/>
      <c r="H164" s="360"/>
      <c r="I164" s="360"/>
      <c r="J164" s="315">
        <f t="shared" si="107"/>
        <v>0</v>
      </c>
      <c r="K164" s="360"/>
      <c r="L164" s="315">
        <f t="shared" si="108"/>
        <v>0</v>
      </c>
      <c r="M164" s="56" t="e">
        <f t="shared" si="109"/>
        <v>#DIV/0!</v>
      </c>
      <c r="N164" s="56" t="e">
        <f t="shared" si="110"/>
        <v>#DIV/0!</v>
      </c>
      <c r="O164" s="56" t="e">
        <f t="shared" si="111"/>
        <v>#DIV/0!</v>
      </c>
      <c r="P164" s="305" t="e">
        <f t="shared" si="112"/>
        <v>#DIV/0!</v>
      </c>
      <c r="Q164" s="359"/>
      <c r="R164" s="305" t="e">
        <f t="shared" si="113"/>
        <v>#DIV/0!</v>
      </c>
      <c r="S164" s="94"/>
      <c r="T164" s="61"/>
      <c r="U164" s="48"/>
      <c r="V164" s="49"/>
    </row>
    <row r="165" spans="1:22">
      <c r="B165" s="315"/>
      <c r="C165" s="315" t="s">
        <v>569</v>
      </c>
      <c r="D165" s="50"/>
      <c r="E165" s="52"/>
      <c r="F165" s="73" t="s">
        <v>423</v>
      </c>
      <c r="G165" s="360"/>
      <c r="H165" s="360"/>
      <c r="I165" s="360"/>
      <c r="J165" s="315">
        <f t="shared" si="107"/>
        <v>0</v>
      </c>
      <c r="K165" s="360"/>
      <c r="L165" s="315">
        <f t="shared" si="108"/>
        <v>0</v>
      </c>
      <c r="M165" s="56" t="e">
        <f t="shared" si="109"/>
        <v>#DIV/0!</v>
      </c>
      <c r="N165" s="56" t="e">
        <f t="shared" si="110"/>
        <v>#DIV/0!</v>
      </c>
      <c r="O165" s="56" t="e">
        <f t="shared" si="111"/>
        <v>#DIV/0!</v>
      </c>
      <c r="P165" s="305" t="e">
        <f t="shared" si="112"/>
        <v>#DIV/0!</v>
      </c>
      <c r="Q165" s="359"/>
      <c r="R165" s="305" t="e">
        <f t="shared" si="113"/>
        <v>#DIV/0!</v>
      </c>
      <c r="S165" s="94"/>
      <c r="T165" s="61"/>
      <c r="U165" s="48"/>
      <c r="V165" s="49"/>
    </row>
    <row r="166" spans="1:22">
      <c r="B166" s="315"/>
      <c r="C166" s="315" t="s">
        <v>569</v>
      </c>
      <c r="D166" s="50"/>
      <c r="E166" s="52"/>
      <c r="F166" s="73" t="s">
        <v>414</v>
      </c>
      <c r="G166" s="360"/>
      <c r="H166" s="360"/>
      <c r="I166" s="360"/>
      <c r="J166" s="315">
        <f t="shared" si="107"/>
        <v>0</v>
      </c>
      <c r="K166" s="360"/>
      <c r="L166" s="315">
        <f t="shared" si="108"/>
        <v>0</v>
      </c>
      <c r="M166" s="56" t="e">
        <f t="shared" si="109"/>
        <v>#DIV/0!</v>
      </c>
      <c r="N166" s="56" t="e">
        <f t="shared" si="110"/>
        <v>#DIV/0!</v>
      </c>
      <c r="O166" s="56" t="e">
        <f t="shared" si="111"/>
        <v>#DIV/0!</v>
      </c>
      <c r="P166" s="305" t="e">
        <f t="shared" si="112"/>
        <v>#DIV/0!</v>
      </c>
      <c r="Q166" s="359"/>
      <c r="R166" s="305" t="e">
        <f t="shared" si="113"/>
        <v>#DIV/0!</v>
      </c>
      <c r="S166" s="94"/>
      <c r="T166" s="61"/>
      <c r="U166" s="48"/>
      <c r="V166" s="49"/>
    </row>
    <row r="167" spans="1:22" s="9" customFormat="1">
      <c r="A167" s="5"/>
      <c r="B167" s="334"/>
      <c r="C167" s="334"/>
      <c r="D167" s="44"/>
      <c r="E167" s="45" t="s">
        <v>441</v>
      </c>
      <c r="F167" s="46"/>
      <c r="G167" s="334">
        <f>SUM(G168:G169)</f>
        <v>0</v>
      </c>
      <c r="H167" s="334"/>
      <c r="I167" s="334"/>
      <c r="J167" s="334">
        <f t="shared" ref="J167:L167" si="114">SUM(J168:J169)</f>
        <v>0</v>
      </c>
      <c r="K167" s="334">
        <f t="shared" si="114"/>
        <v>0</v>
      </c>
      <c r="L167" s="334">
        <f t="shared" si="114"/>
        <v>0</v>
      </c>
      <c r="M167" s="335"/>
      <c r="N167" s="47"/>
      <c r="O167" s="47"/>
      <c r="P167" s="66"/>
      <c r="Q167" s="66"/>
      <c r="R167" s="66"/>
      <c r="S167" s="90"/>
      <c r="T167" s="122"/>
      <c r="U167" s="112"/>
      <c r="V167" s="114"/>
    </row>
    <row r="168" spans="1:22">
      <c r="B168" s="315"/>
      <c r="C168" s="315" t="s">
        <v>540</v>
      </c>
      <c r="D168" s="50"/>
      <c r="E168" s="52"/>
      <c r="F168" s="73" t="s">
        <v>62</v>
      </c>
      <c r="G168" s="360"/>
      <c r="H168" s="360"/>
      <c r="I168" s="360"/>
      <c r="J168" s="315">
        <f>G168+H168-I168</f>
        <v>0</v>
      </c>
      <c r="K168" s="360"/>
      <c r="L168" s="315">
        <f t="shared" ref="L168:L169" si="115">J168-K168</f>
        <v>0</v>
      </c>
      <c r="M168" s="56" t="e">
        <f t="shared" ref="M168:M169" si="116">L168/K168</f>
        <v>#DIV/0!</v>
      </c>
      <c r="N168" s="56" t="e">
        <f>G168/$N$12</f>
        <v>#DIV/0!</v>
      </c>
      <c r="O168" s="56" t="e">
        <f>G168/$O$12</f>
        <v>#DIV/0!</v>
      </c>
      <c r="P168" s="305" t="e">
        <f t="shared" ref="P168:P169" si="117">IF(ABS(O168)&gt;100%,"O","X")</f>
        <v>#DIV/0!</v>
      </c>
      <c r="Q168" s="359"/>
      <c r="R168" s="305" t="e">
        <f t="shared" ref="R168:R169" si="118">IF(P168="O","O",IF(Q168="O","O","X"))</f>
        <v>#DIV/0!</v>
      </c>
      <c r="S168" s="94"/>
      <c r="T168" s="61"/>
      <c r="U168" s="48"/>
      <c r="V168" s="49"/>
    </row>
    <row r="169" spans="1:22">
      <c r="B169" s="315"/>
      <c r="C169" s="315" t="s">
        <v>539</v>
      </c>
      <c r="D169" s="50"/>
      <c r="E169" s="52"/>
      <c r="F169" s="73" t="s">
        <v>442</v>
      </c>
      <c r="G169" s="360"/>
      <c r="H169" s="360"/>
      <c r="I169" s="360"/>
      <c r="J169" s="315">
        <f>G169+H169-I169</f>
        <v>0</v>
      </c>
      <c r="K169" s="360"/>
      <c r="L169" s="315">
        <f t="shared" si="115"/>
        <v>0</v>
      </c>
      <c r="M169" s="56" t="e">
        <f t="shared" si="116"/>
        <v>#DIV/0!</v>
      </c>
      <c r="N169" s="56" t="e">
        <f>G169/$N$12</f>
        <v>#DIV/0!</v>
      </c>
      <c r="O169" s="56" t="e">
        <f>G169/$O$12</f>
        <v>#DIV/0!</v>
      </c>
      <c r="P169" s="305" t="e">
        <f t="shared" si="117"/>
        <v>#DIV/0!</v>
      </c>
      <c r="Q169" s="359"/>
      <c r="R169" s="305" t="e">
        <f t="shared" si="118"/>
        <v>#DIV/0!</v>
      </c>
      <c r="S169" s="94"/>
      <c r="T169" s="61"/>
      <c r="U169" s="48"/>
      <c r="V169" s="49"/>
    </row>
    <row r="170" spans="1:22" s="9" customFormat="1">
      <c r="A170" s="5"/>
      <c r="B170" s="334"/>
      <c r="C170" s="334"/>
      <c r="D170" s="44"/>
      <c r="E170" s="45" t="s">
        <v>443</v>
      </c>
      <c r="F170" s="46"/>
      <c r="G170" s="334">
        <f>SUM(G171:G172)</f>
        <v>0</v>
      </c>
      <c r="H170" s="334"/>
      <c r="I170" s="334"/>
      <c r="J170" s="334">
        <f t="shared" ref="J170:L170" si="119">SUM(J171:J172)</f>
        <v>0</v>
      </c>
      <c r="K170" s="334">
        <f t="shared" si="119"/>
        <v>0</v>
      </c>
      <c r="L170" s="334">
        <f t="shared" si="119"/>
        <v>0</v>
      </c>
      <c r="M170" s="335"/>
      <c r="N170" s="47"/>
      <c r="O170" s="47"/>
      <c r="P170" s="66"/>
      <c r="Q170" s="66"/>
      <c r="R170" s="66"/>
      <c r="S170" s="90"/>
      <c r="T170" s="122"/>
      <c r="U170" s="112"/>
      <c r="V170" s="114"/>
    </row>
    <row r="171" spans="1:22">
      <c r="B171" s="315"/>
      <c r="C171" s="315" t="s">
        <v>543</v>
      </c>
      <c r="D171" s="50"/>
      <c r="E171" s="52"/>
      <c r="F171" s="73" t="s">
        <v>433</v>
      </c>
      <c r="G171" s="360"/>
      <c r="H171" s="360"/>
      <c r="I171" s="360"/>
      <c r="J171" s="315">
        <f>G171+H171-I171</f>
        <v>0</v>
      </c>
      <c r="K171" s="360"/>
      <c r="L171" s="315">
        <f t="shared" ref="L171:L172" si="120">J171-K171</f>
        <v>0</v>
      </c>
      <c r="M171" s="56" t="e">
        <f t="shared" ref="M171:M172" si="121">L171/K171</f>
        <v>#DIV/0!</v>
      </c>
      <c r="N171" s="56" t="e">
        <f>G171/$N$12</f>
        <v>#DIV/0!</v>
      </c>
      <c r="O171" s="56" t="e">
        <f>G171/$O$12</f>
        <v>#DIV/0!</v>
      </c>
      <c r="P171" s="305" t="e">
        <f t="shared" ref="P171:P172" si="122">IF(ABS(O171)&gt;100%,"O","X")</f>
        <v>#DIV/0!</v>
      </c>
      <c r="Q171" s="359"/>
      <c r="R171" s="305" t="e">
        <f t="shared" ref="R171:R172" si="123">IF(P171="O","O",IF(Q171="O","O","X"))</f>
        <v>#DIV/0!</v>
      </c>
      <c r="S171" s="94"/>
      <c r="T171" s="61"/>
      <c r="U171" s="48"/>
      <c r="V171" s="49"/>
    </row>
    <row r="172" spans="1:22">
      <c r="B172" s="315"/>
      <c r="C172" s="315" t="s">
        <v>542</v>
      </c>
      <c r="D172" s="50"/>
      <c r="E172" s="52"/>
      <c r="F172" s="73" t="s">
        <v>61</v>
      </c>
      <c r="G172" s="360"/>
      <c r="H172" s="360"/>
      <c r="I172" s="360"/>
      <c r="J172" s="315">
        <f>G172+H172-I172</f>
        <v>0</v>
      </c>
      <c r="K172" s="360"/>
      <c r="L172" s="315">
        <f t="shared" si="120"/>
        <v>0</v>
      </c>
      <c r="M172" s="56" t="e">
        <f t="shared" si="121"/>
        <v>#DIV/0!</v>
      </c>
      <c r="N172" s="56" t="e">
        <f>G172/$N$12</f>
        <v>#DIV/0!</v>
      </c>
      <c r="O172" s="56" t="e">
        <f>G172/$O$12</f>
        <v>#DIV/0!</v>
      </c>
      <c r="P172" s="305" t="e">
        <f t="shared" si="122"/>
        <v>#DIV/0!</v>
      </c>
      <c r="Q172" s="359"/>
      <c r="R172" s="305" t="e">
        <f t="shared" si="123"/>
        <v>#DIV/0!</v>
      </c>
      <c r="S172" s="94"/>
      <c r="T172" s="61"/>
      <c r="U172" s="48"/>
      <c r="V172" s="49"/>
    </row>
    <row r="173" spans="1:22" s="9" customFormat="1">
      <c r="A173" s="5"/>
      <c r="B173" s="334"/>
      <c r="C173" s="334"/>
      <c r="D173" s="44"/>
      <c r="E173" s="45" t="s">
        <v>444</v>
      </c>
      <c r="F173" s="46"/>
      <c r="G173" s="334">
        <f>SUM(G174)</f>
        <v>0</v>
      </c>
      <c r="H173" s="334"/>
      <c r="I173" s="334"/>
      <c r="J173" s="334">
        <f t="shared" ref="J173:L173" si="124">SUM(J174)</f>
        <v>0</v>
      </c>
      <c r="K173" s="334">
        <f t="shared" si="124"/>
        <v>0</v>
      </c>
      <c r="L173" s="334">
        <f t="shared" si="124"/>
        <v>0</v>
      </c>
      <c r="M173" s="335"/>
      <c r="N173" s="47"/>
      <c r="O173" s="47"/>
      <c r="P173" s="66"/>
      <c r="Q173" s="66"/>
      <c r="R173" s="66"/>
      <c r="S173" s="90"/>
      <c r="T173" s="122"/>
      <c r="U173" s="112"/>
      <c r="V173" s="114"/>
    </row>
    <row r="174" spans="1:22">
      <c r="B174" s="315"/>
      <c r="C174" s="315"/>
      <c r="D174" s="50"/>
      <c r="E174" s="52"/>
      <c r="F174" s="73" t="s">
        <v>445</v>
      </c>
      <c r="G174" s="360"/>
      <c r="H174" s="360"/>
      <c r="I174" s="360"/>
      <c r="J174" s="315">
        <f>G174+H174-I174</f>
        <v>0</v>
      </c>
      <c r="K174" s="360"/>
      <c r="L174" s="315">
        <f>J174-K174</f>
        <v>0</v>
      </c>
      <c r="M174" s="56" t="e">
        <f t="shared" ref="M174" si="125">L174/K174</f>
        <v>#DIV/0!</v>
      </c>
      <c r="N174" s="56" t="e">
        <f>G174/$N$12</f>
        <v>#DIV/0!</v>
      </c>
      <c r="O174" s="56" t="e">
        <f>G174/$O$12</f>
        <v>#DIV/0!</v>
      </c>
      <c r="P174" s="305" t="e">
        <f>IF(ABS(O174)&gt;100%,"O","X")</f>
        <v>#DIV/0!</v>
      </c>
      <c r="Q174" s="359"/>
      <c r="R174" s="305" t="e">
        <f>IF(P174="O","O",IF(Q174="O","O","X"))</f>
        <v>#DIV/0!</v>
      </c>
      <c r="S174" s="94"/>
      <c r="T174" s="61"/>
      <c r="U174" s="48"/>
      <c r="V174" s="49"/>
    </row>
    <row r="175" spans="1:22" s="9" customFormat="1">
      <c r="A175" s="5"/>
      <c r="B175" s="334"/>
      <c r="C175" s="334"/>
      <c r="D175" s="44"/>
      <c r="E175" s="45" t="s">
        <v>446</v>
      </c>
      <c r="F175" s="46"/>
      <c r="G175" s="334">
        <f>SUM(G176)</f>
        <v>0</v>
      </c>
      <c r="H175" s="334"/>
      <c r="I175" s="334"/>
      <c r="J175" s="334">
        <f t="shared" ref="J175:L175" si="126">SUM(J176)</f>
        <v>0</v>
      </c>
      <c r="K175" s="334">
        <f t="shared" si="126"/>
        <v>0</v>
      </c>
      <c r="L175" s="334">
        <f t="shared" si="126"/>
        <v>0</v>
      </c>
      <c r="M175" s="335"/>
      <c r="N175" s="47"/>
      <c r="O175" s="47"/>
      <c r="P175" s="66"/>
      <c r="Q175" s="66"/>
      <c r="R175" s="66"/>
      <c r="S175" s="90"/>
      <c r="T175" s="122"/>
      <c r="U175" s="112"/>
      <c r="V175" s="114"/>
    </row>
    <row r="176" spans="1:22">
      <c r="B176" s="315"/>
      <c r="C176" s="315" t="s">
        <v>541</v>
      </c>
      <c r="D176" s="50"/>
      <c r="E176" s="52"/>
      <c r="F176" s="73" t="s">
        <v>447</v>
      </c>
      <c r="G176" s="360"/>
      <c r="H176" s="360"/>
      <c r="I176" s="360"/>
      <c r="J176" s="315">
        <f>G176+H176-I176</f>
        <v>0</v>
      </c>
      <c r="K176" s="360"/>
      <c r="L176" s="315">
        <f>J176-K176</f>
        <v>0</v>
      </c>
      <c r="M176" s="56" t="e">
        <f t="shared" ref="M176" si="127">L176/K176</f>
        <v>#DIV/0!</v>
      </c>
      <c r="N176" s="56" t="e">
        <f>G176/$N$12</f>
        <v>#DIV/0!</v>
      </c>
      <c r="O176" s="56" t="e">
        <f>G176/$O$12</f>
        <v>#DIV/0!</v>
      </c>
      <c r="P176" s="305" t="e">
        <f>IF(ABS(O176)&gt;100%,"O","X")</f>
        <v>#DIV/0!</v>
      </c>
      <c r="Q176" s="359"/>
      <c r="R176" s="305" t="e">
        <f>IF(P176="O","O",IF(Q176="O","O","X"))</f>
        <v>#DIV/0!</v>
      </c>
      <c r="S176" s="94"/>
      <c r="T176" s="61"/>
      <c r="U176" s="48"/>
      <c r="V176" s="49"/>
    </row>
    <row r="177" spans="1:22" s="9" customFormat="1">
      <c r="A177" s="5"/>
      <c r="B177" s="332"/>
      <c r="C177" s="332"/>
      <c r="D177" s="44" t="s">
        <v>165</v>
      </c>
      <c r="E177" s="45"/>
      <c r="F177" s="46"/>
      <c r="G177" s="332">
        <f>G108+G146</f>
        <v>0</v>
      </c>
      <c r="H177" s="332"/>
      <c r="I177" s="332"/>
      <c r="J177" s="332">
        <f>J108+J146</f>
        <v>0</v>
      </c>
      <c r="K177" s="332">
        <f>K108+K146</f>
        <v>0</v>
      </c>
      <c r="L177" s="332">
        <f>L108+L146</f>
        <v>0</v>
      </c>
      <c r="M177" s="333"/>
      <c r="N177" s="47"/>
      <c r="O177" s="47"/>
      <c r="P177" s="66"/>
      <c r="Q177" s="66"/>
      <c r="R177" s="66"/>
      <c r="S177" s="90"/>
      <c r="T177" s="122"/>
      <c r="U177" s="112"/>
      <c r="V177" s="114"/>
    </row>
    <row r="178" spans="1:22" s="9" customFormat="1">
      <c r="A178" s="5"/>
      <c r="B178" s="314"/>
      <c r="C178" s="314"/>
      <c r="D178" s="44" t="s">
        <v>166</v>
      </c>
      <c r="E178" s="45"/>
      <c r="F178" s="46"/>
      <c r="G178" s="314"/>
      <c r="H178" s="314"/>
      <c r="I178" s="314"/>
      <c r="J178" s="314"/>
      <c r="K178" s="314"/>
      <c r="L178" s="314"/>
      <c r="M178" s="47"/>
      <c r="N178" s="47"/>
      <c r="O178" s="47"/>
      <c r="P178" s="66"/>
      <c r="Q178" s="66"/>
      <c r="R178" s="66"/>
      <c r="S178" s="90"/>
      <c r="T178" s="122"/>
      <c r="U178" s="112"/>
      <c r="V178" s="114"/>
    </row>
    <row r="179" spans="1:22" s="9" customFormat="1">
      <c r="A179" s="5"/>
      <c r="B179" s="332"/>
      <c r="C179" s="332"/>
      <c r="D179" s="44" t="s">
        <v>448</v>
      </c>
      <c r="E179" s="45"/>
      <c r="F179" s="46"/>
      <c r="G179" s="332">
        <f>SUM(G180)</f>
        <v>0</v>
      </c>
      <c r="H179" s="332"/>
      <c r="I179" s="332"/>
      <c r="J179" s="332">
        <f>SUM(J180)</f>
        <v>0</v>
      </c>
      <c r="K179" s="332">
        <f>SUM(K180)</f>
        <v>0</v>
      </c>
      <c r="L179" s="332">
        <f>SUM(L180)</f>
        <v>0</v>
      </c>
      <c r="M179" s="333"/>
      <c r="N179" s="47"/>
      <c r="O179" s="47"/>
      <c r="P179" s="66"/>
      <c r="Q179" s="66"/>
      <c r="R179" s="66"/>
      <c r="S179" s="90"/>
      <c r="T179" s="122"/>
      <c r="U179" s="112"/>
      <c r="V179" s="114"/>
    </row>
    <row r="180" spans="1:22">
      <c r="B180" s="315"/>
      <c r="C180" s="315" t="s">
        <v>544</v>
      </c>
      <c r="D180" s="50"/>
      <c r="E180" s="52"/>
      <c r="F180" s="73" t="s">
        <v>68</v>
      </c>
      <c r="G180" s="360"/>
      <c r="H180" s="360"/>
      <c r="I180" s="360"/>
      <c r="J180" s="315">
        <f>G180+I180-H180</f>
        <v>0</v>
      </c>
      <c r="K180" s="360"/>
      <c r="L180" s="315">
        <f>J180-K180</f>
        <v>0</v>
      </c>
      <c r="M180" s="56" t="e">
        <f t="shared" ref="M180" si="128">L180/K180</f>
        <v>#DIV/0!</v>
      </c>
      <c r="N180" s="56" t="e">
        <f>G180/$N$12</f>
        <v>#DIV/0!</v>
      </c>
      <c r="O180" s="56" t="e">
        <f>G180/$O$12</f>
        <v>#DIV/0!</v>
      </c>
      <c r="P180" s="305" t="e">
        <f>IF(ABS(O180)&gt;100%,"O","X")</f>
        <v>#DIV/0!</v>
      </c>
      <c r="Q180" s="359"/>
      <c r="R180" s="305" t="e">
        <f>IF(P180="O","O",IF(Q180="O","O","X"))</f>
        <v>#DIV/0!</v>
      </c>
      <c r="S180" s="94"/>
      <c r="T180" s="61"/>
      <c r="U180" s="48"/>
      <c r="V180" s="49"/>
    </row>
    <row r="181" spans="1:22" s="9" customFormat="1">
      <c r="A181" s="5"/>
      <c r="B181" s="332"/>
      <c r="C181" s="332"/>
      <c r="D181" s="44" t="s">
        <v>449</v>
      </c>
      <c r="E181" s="45"/>
      <c r="F181" s="46"/>
      <c r="G181" s="332">
        <f>SUM(G182:G183)</f>
        <v>0</v>
      </c>
      <c r="H181" s="332"/>
      <c r="I181" s="332"/>
      <c r="J181" s="332">
        <f>SUM(J182:J183)</f>
        <v>0</v>
      </c>
      <c r="K181" s="332">
        <f>SUM(K182:K183)</f>
        <v>0</v>
      </c>
      <c r="L181" s="332">
        <f>SUM(L182:L183)</f>
        <v>0</v>
      </c>
      <c r="M181" s="333"/>
      <c r="N181" s="47"/>
      <c r="O181" s="47"/>
      <c r="P181" s="66"/>
      <c r="Q181" s="66"/>
      <c r="R181" s="66"/>
      <c r="S181" s="90"/>
      <c r="T181" s="122"/>
      <c r="U181" s="112"/>
      <c r="V181" s="114"/>
    </row>
    <row r="182" spans="1:22">
      <c r="B182" s="315"/>
      <c r="C182" s="315" t="s">
        <v>546</v>
      </c>
      <c r="D182" s="50"/>
      <c r="E182" s="52"/>
      <c r="F182" s="73" t="s">
        <v>39</v>
      </c>
      <c r="G182" s="360"/>
      <c r="H182" s="360"/>
      <c r="I182" s="360"/>
      <c r="J182" s="315">
        <f>G182+I182-H182</f>
        <v>0</v>
      </c>
      <c r="K182" s="360"/>
      <c r="L182" s="315">
        <f t="shared" ref="L182:L183" si="129">J182-K182</f>
        <v>0</v>
      </c>
      <c r="M182" s="56" t="e">
        <f t="shared" ref="M182:M183" si="130">L182/K182</f>
        <v>#DIV/0!</v>
      </c>
      <c r="N182" s="56" t="e">
        <f>G182/$N$12</f>
        <v>#DIV/0!</v>
      </c>
      <c r="O182" s="56" t="e">
        <f>G182/$O$12</f>
        <v>#DIV/0!</v>
      </c>
      <c r="P182" s="305" t="e">
        <f t="shared" ref="P182:P183" si="131">IF(ABS(O182)&gt;100%,"O","X")</f>
        <v>#DIV/0!</v>
      </c>
      <c r="Q182" s="359"/>
      <c r="R182" s="305" t="e">
        <f t="shared" ref="R182:R183" si="132">IF(P182="O","O",IF(Q182="O","O","X"))</f>
        <v>#DIV/0!</v>
      </c>
      <c r="S182" s="94"/>
      <c r="T182" s="61"/>
      <c r="U182" s="48"/>
      <c r="V182" s="49"/>
    </row>
    <row r="183" spans="1:22">
      <c r="B183" s="315"/>
      <c r="C183" s="315" t="s">
        <v>545</v>
      </c>
      <c r="D183" s="50"/>
      <c r="E183" s="52"/>
      <c r="F183" s="73" t="s">
        <v>143</v>
      </c>
      <c r="G183" s="360"/>
      <c r="H183" s="360"/>
      <c r="I183" s="360"/>
      <c r="J183" s="315">
        <f>G183+I183-H183</f>
        <v>0</v>
      </c>
      <c r="K183" s="360"/>
      <c r="L183" s="315">
        <f t="shared" si="129"/>
        <v>0</v>
      </c>
      <c r="M183" s="56" t="e">
        <f t="shared" si="130"/>
        <v>#DIV/0!</v>
      </c>
      <c r="N183" s="56" t="e">
        <f>G183/$N$12</f>
        <v>#DIV/0!</v>
      </c>
      <c r="O183" s="56" t="e">
        <f>G183/$O$12</f>
        <v>#DIV/0!</v>
      </c>
      <c r="P183" s="305" t="e">
        <f t="shared" si="131"/>
        <v>#DIV/0!</v>
      </c>
      <c r="Q183" s="359"/>
      <c r="R183" s="305" t="e">
        <f t="shared" si="132"/>
        <v>#DIV/0!</v>
      </c>
      <c r="S183" s="94"/>
      <c r="T183" s="61"/>
      <c r="U183" s="48"/>
      <c r="V183" s="49"/>
    </row>
    <row r="184" spans="1:22" s="9" customFormat="1">
      <c r="A184" s="5"/>
      <c r="B184" s="332"/>
      <c r="C184" s="332"/>
      <c r="D184" s="44" t="s">
        <v>450</v>
      </c>
      <c r="E184" s="45"/>
      <c r="F184" s="46"/>
      <c r="G184" s="332">
        <f>SUM(G185:G188)</f>
        <v>0</v>
      </c>
      <c r="H184" s="332"/>
      <c r="I184" s="332"/>
      <c r="J184" s="332">
        <f t="shared" ref="J184:L184" si="133">SUM(J185:J188)</f>
        <v>0</v>
      </c>
      <c r="K184" s="332">
        <f t="shared" si="133"/>
        <v>0</v>
      </c>
      <c r="L184" s="332">
        <f t="shared" si="133"/>
        <v>0</v>
      </c>
      <c r="M184" s="333"/>
      <c r="N184" s="47"/>
      <c r="O184" s="47"/>
      <c r="P184" s="66"/>
      <c r="Q184" s="66"/>
      <c r="R184" s="66"/>
      <c r="S184" s="90"/>
      <c r="T184" s="122"/>
      <c r="U184" s="112"/>
      <c r="V184" s="114"/>
    </row>
    <row r="185" spans="1:22">
      <c r="B185" s="55"/>
      <c r="C185" s="55" t="s">
        <v>545</v>
      </c>
      <c r="D185" s="50"/>
      <c r="E185" s="52"/>
      <c r="F185" s="73" t="s">
        <v>105</v>
      </c>
      <c r="G185" s="358"/>
      <c r="H185" s="358"/>
      <c r="I185" s="358"/>
      <c r="J185" s="55">
        <f>G185+I185-H185</f>
        <v>0</v>
      </c>
      <c r="K185" s="358"/>
      <c r="L185" s="315">
        <f t="shared" ref="L185:L188" si="134">J185-K185</f>
        <v>0</v>
      </c>
      <c r="M185" s="56" t="e">
        <f t="shared" ref="M185:M188" si="135">L185/K185</f>
        <v>#DIV/0!</v>
      </c>
      <c r="N185" s="56" t="e">
        <f>G185/$N$12</f>
        <v>#DIV/0!</v>
      </c>
      <c r="O185" s="56" t="e">
        <f>G185/$O$12</f>
        <v>#DIV/0!</v>
      </c>
      <c r="P185" s="305" t="e">
        <f t="shared" ref="P185:P188" si="136">IF(ABS(O185)&gt;100%,"O","X")</f>
        <v>#DIV/0!</v>
      </c>
      <c r="Q185" s="359"/>
      <c r="R185" s="305" t="e">
        <f t="shared" ref="R185:R188" si="137">IF(P185="O","O",IF(Q185="O","O","X"))</f>
        <v>#DIV/0!</v>
      </c>
      <c r="S185" s="94"/>
      <c r="T185" s="61"/>
      <c r="U185" s="48"/>
      <c r="V185" s="49"/>
    </row>
    <row r="186" spans="1:22">
      <c r="B186" s="55"/>
      <c r="C186" s="55" t="s">
        <v>545</v>
      </c>
      <c r="D186" s="50"/>
      <c r="E186" s="52"/>
      <c r="F186" s="73" t="s">
        <v>451</v>
      </c>
      <c r="G186" s="358"/>
      <c r="H186" s="358"/>
      <c r="I186" s="358"/>
      <c r="J186" s="55">
        <f>G186+I186-H186</f>
        <v>0</v>
      </c>
      <c r="K186" s="358"/>
      <c r="L186" s="315">
        <f t="shared" si="134"/>
        <v>0</v>
      </c>
      <c r="M186" s="56" t="e">
        <f t="shared" si="135"/>
        <v>#DIV/0!</v>
      </c>
      <c r="N186" s="56" t="e">
        <f>G186/$N$12</f>
        <v>#DIV/0!</v>
      </c>
      <c r="O186" s="56" t="e">
        <f>G186/$O$12</f>
        <v>#DIV/0!</v>
      </c>
      <c r="P186" s="305" t="e">
        <f t="shared" si="136"/>
        <v>#DIV/0!</v>
      </c>
      <c r="Q186" s="359"/>
      <c r="R186" s="305" t="e">
        <f t="shared" si="137"/>
        <v>#DIV/0!</v>
      </c>
      <c r="S186" s="94"/>
      <c r="T186" s="61"/>
      <c r="U186" s="48"/>
      <c r="V186" s="49"/>
    </row>
    <row r="187" spans="1:22">
      <c r="B187" s="315"/>
      <c r="C187" s="315" t="s">
        <v>545</v>
      </c>
      <c r="D187" s="50"/>
      <c r="E187" s="52"/>
      <c r="F187" s="73" t="s">
        <v>452</v>
      </c>
      <c r="G187" s="360"/>
      <c r="H187" s="360"/>
      <c r="I187" s="360"/>
      <c r="J187" s="315">
        <f>G187+I187-H187</f>
        <v>0</v>
      </c>
      <c r="K187" s="360"/>
      <c r="L187" s="315">
        <f t="shared" si="134"/>
        <v>0</v>
      </c>
      <c r="M187" s="56" t="e">
        <f t="shared" si="135"/>
        <v>#DIV/0!</v>
      </c>
      <c r="N187" s="56" t="e">
        <f>G187/$N$12</f>
        <v>#DIV/0!</v>
      </c>
      <c r="O187" s="56" t="e">
        <f>G187/$O$12</f>
        <v>#DIV/0!</v>
      </c>
      <c r="P187" s="305" t="e">
        <f t="shared" si="136"/>
        <v>#DIV/0!</v>
      </c>
      <c r="Q187" s="359"/>
      <c r="R187" s="305" t="e">
        <f t="shared" si="137"/>
        <v>#DIV/0!</v>
      </c>
      <c r="S187" s="94"/>
      <c r="T187" s="61"/>
      <c r="U187" s="48"/>
      <c r="V187" s="49"/>
    </row>
    <row r="188" spans="1:22">
      <c r="B188" s="315"/>
      <c r="C188" s="315" t="s">
        <v>545</v>
      </c>
      <c r="D188" s="50"/>
      <c r="E188" s="52"/>
      <c r="F188" s="73" t="s">
        <v>453</v>
      </c>
      <c r="G188" s="360"/>
      <c r="H188" s="360"/>
      <c r="I188" s="360"/>
      <c r="J188" s="315">
        <f>G188+I188-H188</f>
        <v>0</v>
      </c>
      <c r="K188" s="360"/>
      <c r="L188" s="315">
        <f t="shared" si="134"/>
        <v>0</v>
      </c>
      <c r="M188" s="56" t="e">
        <f t="shared" si="135"/>
        <v>#DIV/0!</v>
      </c>
      <c r="N188" s="56" t="e">
        <f>G188/$N$12</f>
        <v>#DIV/0!</v>
      </c>
      <c r="O188" s="56" t="e">
        <f>G188/$O$12</f>
        <v>#DIV/0!</v>
      </c>
      <c r="P188" s="305" t="e">
        <f t="shared" si="136"/>
        <v>#DIV/0!</v>
      </c>
      <c r="Q188" s="359"/>
      <c r="R188" s="305" t="e">
        <f t="shared" si="137"/>
        <v>#DIV/0!</v>
      </c>
      <c r="S188" s="94"/>
      <c r="T188" s="61"/>
      <c r="U188" s="48"/>
      <c r="V188" s="49"/>
    </row>
    <row r="189" spans="1:22" s="9" customFormat="1">
      <c r="A189" s="5"/>
      <c r="B189" s="332"/>
      <c r="C189" s="332"/>
      <c r="D189" s="44" t="s">
        <v>454</v>
      </c>
      <c r="E189" s="45"/>
      <c r="F189" s="46"/>
      <c r="G189" s="332">
        <f>SUM(G190:G192)</f>
        <v>0</v>
      </c>
      <c r="H189" s="332"/>
      <c r="I189" s="332"/>
      <c r="J189" s="332">
        <f t="shared" ref="J189:L189" si="138">SUM(J190:J192)</f>
        <v>0</v>
      </c>
      <c r="K189" s="332">
        <f t="shared" si="138"/>
        <v>0</v>
      </c>
      <c r="L189" s="332">
        <f t="shared" si="138"/>
        <v>0</v>
      </c>
      <c r="M189" s="333"/>
      <c r="N189" s="47"/>
      <c r="O189" s="47"/>
      <c r="P189" s="66"/>
      <c r="Q189" s="66"/>
      <c r="R189" s="66"/>
      <c r="S189" s="90"/>
      <c r="T189" s="122"/>
      <c r="U189" s="112"/>
      <c r="V189" s="114"/>
    </row>
    <row r="190" spans="1:22">
      <c r="B190" s="55"/>
      <c r="C190" s="55" t="s">
        <v>548</v>
      </c>
      <c r="D190" s="50"/>
      <c r="E190" s="52"/>
      <c r="F190" s="73" t="s">
        <v>455</v>
      </c>
      <c r="G190" s="358"/>
      <c r="H190" s="358"/>
      <c r="I190" s="358"/>
      <c r="J190" s="55">
        <f>G190+I190-H190</f>
        <v>0</v>
      </c>
      <c r="K190" s="358"/>
      <c r="L190" s="315">
        <f t="shared" ref="L190:L192" si="139">J190-K190</f>
        <v>0</v>
      </c>
      <c r="M190" s="56" t="e">
        <f t="shared" ref="M190:M192" si="140">L190/K190</f>
        <v>#DIV/0!</v>
      </c>
      <c r="N190" s="56" t="e">
        <f>G190/$N$12</f>
        <v>#DIV/0!</v>
      </c>
      <c r="O190" s="56" t="e">
        <f>G190/$O$12</f>
        <v>#DIV/0!</v>
      </c>
      <c r="P190" s="305" t="e">
        <f t="shared" ref="P190:P192" si="141">IF(ABS(O190)&gt;100%,"O","X")</f>
        <v>#DIV/0!</v>
      </c>
      <c r="Q190" s="359"/>
      <c r="R190" s="305" t="e">
        <f t="shared" ref="R190:R192" si="142">IF(P190="O","O",IF(Q190="O","O","X"))</f>
        <v>#DIV/0!</v>
      </c>
      <c r="S190" s="94"/>
      <c r="T190" s="61"/>
      <c r="U190" s="48"/>
      <c r="V190" s="49"/>
    </row>
    <row r="191" spans="1:22">
      <c r="B191" s="315"/>
      <c r="C191" s="315" t="s">
        <v>547</v>
      </c>
      <c r="D191" s="50"/>
      <c r="E191" s="52"/>
      <c r="F191" s="73" t="s">
        <v>145</v>
      </c>
      <c r="G191" s="360"/>
      <c r="H191" s="360"/>
      <c r="I191" s="360"/>
      <c r="J191" s="315">
        <f>G191+I191-H191</f>
        <v>0</v>
      </c>
      <c r="K191" s="360"/>
      <c r="L191" s="315">
        <f t="shared" si="139"/>
        <v>0</v>
      </c>
      <c r="M191" s="56" t="e">
        <f t="shared" si="140"/>
        <v>#DIV/0!</v>
      </c>
      <c r="N191" s="56" t="e">
        <f>G191/$N$12</f>
        <v>#DIV/0!</v>
      </c>
      <c r="O191" s="56" t="e">
        <f>G191/$O$12</f>
        <v>#DIV/0!</v>
      </c>
      <c r="P191" s="305" t="e">
        <f t="shared" si="141"/>
        <v>#DIV/0!</v>
      </c>
      <c r="Q191" s="359"/>
      <c r="R191" s="305" t="e">
        <f t="shared" si="142"/>
        <v>#DIV/0!</v>
      </c>
      <c r="S191" s="94"/>
      <c r="T191" s="61"/>
      <c r="U191" s="48"/>
      <c r="V191" s="49"/>
    </row>
    <row r="192" spans="1:22">
      <c r="B192" s="315"/>
      <c r="C192" s="315" t="s">
        <v>547</v>
      </c>
      <c r="D192" s="50"/>
      <c r="E192" s="52"/>
      <c r="F192" s="73" t="s">
        <v>144</v>
      </c>
      <c r="G192" s="360"/>
      <c r="H192" s="360"/>
      <c r="I192" s="360"/>
      <c r="J192" s="315">
        <f>G192+I192-H192</f>
        <v>0</v>
      </c>
      <c r="K192" s="360"/>
      <c r="L192" s="315">
        <f t="shared" si="139"/>
        <v>0</v>
      </c>
      <c r="M192" s="56" t="e">
        <f t="shared" si="140"/>
        <v>#DIV/0!</v>
      </c>
      <c r="N192" s="56" t="e">
        <f>G192/$N$12</f>
        <v>#DIV/0!</v>
      </c>
      <c r="O192" s="56" t="e">
        <f>G192/$O$12</f>
        <v>#DIV/0!</v>
      </c>
      <c r="P192" s="305" t="e">
        <f t="shared" si="141"/>
        <v>#DIV/0!</v>
      </c>
      <c r="Q192" s="359"/>
      <c r="R192" s="305" t="e">
        <f t="shared" si="142"/>
        <v>#DIV/0!</v>
      </c>
      <c r="S192" s="94"/>
      <c r="T192" s="61"/>
      <c r="U192" s="48"/>
      <c r="V192" s="49"/>
    </row>
    <row r="193" spans="1:22" s="9" customFormat="1">
      <c r="A193" s="5"/>
      <c r="B193" s="332"/>
      <c r="C193" s="332"/>
      <c r="D193" s="44" t="s">
        <v>456</v>
      </c>
      <c r="E193" s="45"/>
      <c r="F193" s="46"/>
      <c r="G193" s="332">
        <f>SUM(G194:G199)</f>
        <v>0</v>
      </c>
      <c r="H193" s="332"/>
      <c r="I193" s="332"/>
      <c r="J193" s="332">
        <f t="shared" ref="J193:L193" si="143">SUM(J194:J199)</f>
        <v>0</v>
      </c>
      <c r="K193" s="332">
        <f t="shared" si="143"/>
        <v>0</v>
      </c>
      <c r="L193" s="332">
        <f t="shared" si="143"/>
        <v>0</v>
      </c>
      <c r="M193" s="333"/>
      <c r="N193" s="47"/>
      <c r="O193" s="47"/>
      <c r="P193" s="66"/>
      <c r="Q193" s="66"/>
      <c r="R193" s="66"/>
      <c r="S193" s="90"/>
      <c r="T193" s="122"/>
      <c r="U193" s="112"/>
      <c r="V193" s="114"/>
    </row>
    <row r="194" spans="1:22">
      <c r="B194" s="315"/>
      <c r="C194" s="315" t="s">
        <v>549</v>
      </c>
      <c r="D194" s="50"/>
      <c r="E194" s="52"/>
      <c r="F194" s="73" t="s">
        <v>457</v>
      </c>
      <c r="G194" s="360"/>
      <c r="H194" s="360"/>
      <c r="I194" s="360"/>
      <c r="J194" s="315">
        <f>G194+I194-H194</f>
        <v>0</v>
      </c>
      <c r="K194" s="360"/>
      <c r="L194" s="315">
        <f t="shared" ref="L194:L197" si="144">J194-K194</f>
        <v>0</v>
      </c>
      <c r="M194" s="56" t="e">
        <f t="shared" ref="M194:M197" si="145">L194/K194</f>
        <v>#DIV/0!</v>
      </c>
      <c r="N194" s="56" t="e">
        <f t="shared" ref="N194:N199" si="146">G194/$N$12</f>
        <v>#DIV/0!</v>
      </c>
      <c r="O194" s="56" t="e">
        <f t="shared" ref="O194:O199" si="147">G194/$O$12</f>
        <v>#DIV/0!</v>
      </c>
      <c r="P194" s="305" t="e">
        <f t="shared" ref="P194:P199" si="148">IF(ABS(O194)&gt;100%,"O","X")</f>
        <v>#DIV/0!</v>
      </c>
      <c r="Q194" s="359"/>
      <c r="R194" s="305" t="e">
        <f t="shared" ref="R194:R199" si="149">IF(P194="O","O",IF(Q194="O","O","X"))</f>
        <v>#DIV/0!</v>
      </c>
      <c r="S194" s="94"/>
      <c r="T194" s="61"/>
      <c r="U194" s="48"/>
      <c r="V194" s="49"/>
    </row>
    <row r="195" spans="1:22">
      <c r="B195" s="315"/>
      <c r="C195" s="315" t="s">
        <v>70</v>
      </c>
      <c r="D195" s="50"/>
      <c r="E195" s="52"/>
      <c r="F195" s="73" t="s">
        <v>458</v>
      </c>
      <c r="G195" s="360"/>
      <c r="H195" s="360"/>
      <c r="I195" s="360"/>
      <c r="J195" s="315">
        <f>G195+I195-H195</f>
        <v>0</v>
      </c>
      <c r="K195" s="360"/>
      <c r="L195" s="315">
        <f t="shared" si="144"/>
        <v>0</v>
      </c>
      <c r="M195" s="56" t="e">
        <f t="shared" si="145"/>
        <v>#DIV/0!</v>
      </c>
      <c r="N195" s="56" t="e">
        <f t="shared" si="146"/>
        <v>#DIV/0!</v>
      </c>
      <c r="O195" s="56" t="e">
        <f t="shared" si="147"/>
        <v>#DIV/0!</v>
      </c>
      <c r="P195" s="305" t="e">
        <f t="shared" si="148"/>
        <v>#DIV/0!</v>
      </c>
      <c r="Q195" s="359"/>
      <c r="R195" s="305" t="e">
        <f t="shared" si="149"/>
        <v>#DIV/0!</v>
      </c>
      <c r="S195" s="94"/>
      <c r="T195" s="61"/>
      <c r="U195" s="48"/>
      <c r="V195" s="49"/>
    </row>
    <row r="196" spans="1:22">
      <c r="B196" s="315"/>
      <c r="C196" s="315" t="s">
        <v>70</v>
      </c>
      <c r="D196" s="50"/>
      <c r="E196" s="52"/>
      <c r="F196" s="73" t="s">
        <v>459</v>
      </c>
      <c r="G196" s="360"/>
      <c r="H196" s="360"/>
      <c r="I196" s="360"/>
      <c r="J196" s="315">
        <f>G196+I196-H196</f>
        <v>0</v>
      </c>
      <c r="K196" s="360"/>
      <c r="L196" s="315">
        <f t="shared" si="144"/>
        <v>0</v>
      </c>
      <c r="M196" s="56" t="e">
        <f t="shared" si="145"/>
        <v>#DIV/0!</v>
      </c>
      <c r="N196" s="56" t="e">
        <f t="shared" si="146"/>
        <v>#DIV/0!</v>
      </c>
      <c r="O196" s="56" t="e">
        <f t="shared" si="147"/>
        <v>#DIV/0!</v>
      </c>
      <c r="P196" s="305" t="e">
        <f t="shared" si="148"/>
        <v>#DIV/0!</v>
      </c>
      <c r="Q196" s="359"/>
      <c r="R196" s="305" t="e">
        <f t="shared" si="149"/>
        <v>#DIV/0!</v>
      </c>
      <c r="S196" s="94"/>
      <c r="T196" s="61"/>
      <c r="U196" s="48"/>
      <c r="V196" s="49"/>
    </row>
    <row r="197" spans="1:22">
      <c r="B197" s="315"/>
      <c r="C197" s="315" t="s">
        <v>70</v>
      </c>
      <c r="D197" s="50"/>
      <c r="E197" s="52"/>
      <c r="F197" s="73" t="s">
        <v>214</v>
      </c>
      <c r="G197" s="360"/>
      <c r="H197" s="315">
        <f>H329</f>
        <v>0</v>
      </c>
      <c r="I197" s="315">
        <f>I329</f>
        <v>0</v>
      </c>
      <c r="J197" s="315">
        <f>G197+I197-H197</f>
        <v>0</v>
      </c>
      <c r="K197" s="360"/>
      <c r="L197" s="315">
        <f t="shared" si="144"/>
        <v>0</v>
      </c>
      <c r="M197" s="56" t="e">
        <f t="shared" si="145"/>
        <v>#DIV/0!</v>
      </c>
      <c r="N197" s="56" t="e">
        <f t="shared" si="146"/>
        <v>#DIV/0!</v>
      </c>
      <c r="O197" s="56" t="e">
        <f t="shared" si="147"/>
        <v>#DIV/0!</v>
      </c>
      <c r="P197" s="305" t="e">
        <f t="shared" si="148"/>
        <v>#DIV/0!</v>
      </c>
      <c r="Q197" s="359"/>
      <c r="R197" s="305" t="e">
        <f t="shared" si="149"/>
        <v>#DIV/0!</v>
      </c>
      <c r="S197" s="94"/>
      <c r="T197" s="61"/>
      <c r="U197" s="48"/>
      <c r="V197" s="49"/>
    </row>
    <row r="198" spans="1:22">
      <c r="B198" s="315"/>
      <c r="C198" s="315"/>
      <c r="D198" s="50"/>
      <c r="E198" s="52"/>
      <c r="F198" s="73" t="s">
        <v>678</v>
      </c>
      <c r="G198" s="360"/>
      <c r="H198" s="360"/>
      <c r="I198" s="360"/>
      <c r="J198" s="315">
        <f>G198+I198-H198</f>
        <v>0</v>
      </c>
      <c r="K198" s="360"/>
      <c r="L198" s="315"/>
      <c r="M198" s="56"/>
      <c r="N198" s="56" t="e">
        <f t="shared" si="146"/>
        <v>#DIV/0!</v>
      </c>
      <c r="O198" s="56" t="e">
        <f t="shared" si="147"/>
        <v>#DIV/0!</v>
      </c>
      <c r="P198" s="305" t="e">
        <f t="shared" si="148"/>
        <v>#DIV/0!</v>
      </c>
      <c r="Q198" s="359"/>
      <c r="R198" s="305" t="e">
        <f t="shared" si="149"/>
        <v>#DIV/0!</v>
      </c>
      <c r="S198" s="94"/>
      <c r="T198" s="61"/>
      <c r="U198" s="48"/>
      <c r="V198" s="49"/>
    </row>
    <row r="199" spans="1:22">
      <c r="B199" s="315"/>
      <c r="C199" s="315"/>
      <c r="D199" s="50"/>
      <c r="E199" s="52"/>
      <c r="F199" s="73" t="s">
        <v>679</v>
      </c>
      <c r="G199" s="360"/>
      <c r="H199" s="360"/>
      <c r="I199" s="360"/>
      <c r="J199" s="315">
        <f>G199+I199-H199</f>
        <v>0</v>
      </c>
      <c r="K199" s="360"/>
      <c r="L199" s="315"/>
      <c r="M199" s="56"/>
      <c r="N199" s="56" t="e">
        <f t="shared" si="146"/>
        <v>#DIV/0!</v>
      </c>
      <c r="O199" s="56" t="e">
        <f t="shared" si="147"/>
        <v>#DIV/0!</v>
      </c>
      <c r="P199" s="305" t="e">
        <f t="shared" si="148"/>
        <v>#DIV/0!</v>
      </c>
      <c r="Q199" s="359"/>
      <c r="R199" s="305" t="e">
        <f t="shared" si="149"/>
        <v>#DIV/0!</v>
      </c>
      <c r="S199" s="94"/>
      <c r="T199" s="61"/>
      <c r="U199" s="48"/>
      <c r="V199" s="49"/>
    </row>
    <row r="200" spans="1:22" s="9" customFormat="1">
      <c r="A200" s="5"/>
      <c r="B200" s="332"/>
      <c r="C200" s="332"/>
      <c r="D200" s="44" t="s">
        <v>169</v>
      </c>
      <c r="E200" s="45"/>
      <c r="F200" s="46"/>
      <c r="G200" s="332">
        <f>G179+G181+G184+G189+G193</f>
        <v>0</v>
      </c>
      <c r="H200" s="332"/>
      <c r="I200" s="332"/>
      <c r="J200" s="332">
        <f t="shared" ref="J200:L200" si="150">J179+J181+J184+J189+J193</f>
        <v>0</v>
      </c>
      <c r="K200" s="332">
        <f t="shared" si="150"/>
        <v>0</v>
      </c>
      <c r="L200" s="332">
        <f t="shared" si="150"/>
        <v>0</v>
      </c>
      <c r="M200" s="333"/>
      <c r="N200" s="47"/>
      <c r="O200" s="47"/>
      <c r="P200" s="66"/>
      <c r="Q200" s="66"/>
      <c r="R200" s="66"/>
      <c r="S200" s="90"/>
      <c r="T200" s="122"/>
      <c r="U200" s="112"/>
      <c r="V200" s="114"/>
    </row>
    <row r="201" spans="1:22" s="9" customFormat="1">
      <c r="A201" s="5"/>
      <c r="B201" s="332"/>
      <c r="C201" s="332"/>
      <c r="D201" s="44" t="s">
        <v>170</v>
      </c>
      <c r="E201" s="45"/>
      <c r="F201" s="46"/>
      <c r="G201" s="332">
        <f>G200+G177</f>
        <v>0</v>
      </c>
      <c r="H201" s="332"/>
      <c r="I201" s="332"/>
      <c r="J201" s="332">
        <f t="shared" ref="J201:L201" si="151">J200+J177</f>
        <v>0</v>
      </c>
      <c r="K201" s="332">
        <f t="shared" si="151"/>
        <v>0</v>
      </c>
      <c r="L201" s="332">
        <f t="shared" si="151"/>
        <v>0</v>
      </c>
      <c r="M201" s="333"/>
      <c r="N201" s="47"/>
      <c r="O201" s="47"/>
      <c r="P201" s="66"/>
      <c r="Q201" s="66"/>
      <c r="R201" s="66"/>
      <c r="S201" s="90"/>
      <c r="T201" s="122"/>
      <c r="U201" s="112"/>
      <c r="V201" s="114"/>
    </row>
    <row r="202" spans="1:22">
      <c r="A202" s="10">
        <v>1</v>
      </c>
      <c r="B202" s="29"/>
      <c r="C202" s="29"/>
      <c r="D202" s="74"/>
      <c r="E202" s="74"/>
      <c r="F202" s="74"/>
      <c r="G202" s="29" t="b">
        <f>G201=G107</f>
        <v>1</v>
      </c>
      <c r="H202" s="29">
        <f>SUM(H14:H201)</f>
        <v>0</v>
      </c>
      <c r="I202" s="29">
        <f>SUM(I14:I201)</f>
        <v>0</v>
      </c>
      <c r="J202" s="29" t="b">
        <f>J201=J107</f>
        <v>1</v>
      </c>
      <c r="K202" s="29" t="b">
        <f>K201=K107</f>
        <v>1</v>
      </c>
      <c r="L202" s="29" t="b">
        <f>L201=L107</f>
        <v>1</v>
      </c>
      <c r="M202" s="75"/>
      <c r="N202" s="75"/>
      <c r="O202" s="75"/>
      <c r="P202" s="75"/>
      <c r="Q202" s="75"/>
      <c r="R202" s="75"/>
      <c r="S202" s="48"/>
      <c r="T202" s="48"/>
      <c r="U202" s="48"/>
      <c r="V202" s="49"/>
    </row>
    <row r="203" spans="1:22">
      <c r="A203" s="10">
        <v>1</v>
      </c>
      <c r="B203" s="76"/>
      <c r="C203" s="76"/>
      <c r="D203" s="74" t="s">
        <v>8</v>
      </c>
      <c r="E203" s="74"/>
      <c r="F203" s="74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48"/>
      <c r="T203" s="48"/>
      <c r="U203" s="48"/>
      <c r="V203" s="49"/>
    </row>
    <row r="204" spans="1:22">
      <c r="A204" s="10">
        <v>1</v>
      </c>
      <c r="B204" s="31"/>
      <c r="C204" s="31"/>
      <c r="D204" s="30"/>
      <c r="E204" s="30"/>
      <c r="F204" s="30"/>
      <c r="G204" s="362"/>
      <c r="H204" s="362"/>
      <c r="I204" s="362"/>
      <c r="J204" s="31" t="s">
        <v>247</v>
      </c>
      <c r="K204" s="362"/>
      <c r="L204" s="78" t="s">
        <v>1</v>
      </c>
      <c r="M204" s="79"/>
      <c r="N204" s="80" t="s">
        <v>124</v>
      </c>
      <c r="O204" s="80" t="s">
        <v>125</v>
      </c>
      <c r="P204" s="80" t="s">
        <v>120</v>
      </c>
      <c r="Q204" s="363"/>
      <c r="R204" s="80"/>
      <c r="S204" s="413"/>
      <c r="T204" s="48"/>
      <c r="U204" s="77"/>
      <c r="V204" s="11"/>
    </row>
    <row r="205" spans="1:22">
      <c r="A205" s="10">
        <v>1</v>
      </c>
      <c r="B205" s="36"/>
      <c r="C205" s="36"/>
      <c r="D205" s="35"/>
      <c r="E205" s="35"/>
      <c r="F205" s="35"/>
      <c r="G205" s="36">
        <f>G12</f>
        <v>0</v>
      </c>
      <c r="H205" s="36"/>
      <c r="I205" s="36"/>
      <c r="J205" s="36">
        <f>G205</f>
        <v>0</v>
      </c>
      <c r="K205" s="83">
        <f>G205-366</f>
        <v>-366</v>
      </c>
      <c r="L205" s="84" t="s">
        <v>5</v>
      </c>
      <c r="M205" s="85" t="s">
        <v>0</v>
      </c>
      <c r="N205" s="86">
        <f>N12</f>
        <v>0</v>
      </c>
      <c r="O205" s="86">
        <f>O12</f>
        <v>0</v>
      </c>
      <c r="P205" s="86" t="s">
        <v>121</v>
      </c>
      <c r="Q205" s="86" t="s">
        <v>122</v>
      </c>
      <c r="R205" s="86" t="s">
        <v>123</v>
      </c>
      <c r="S205" s="414"/>
      <c r="T205" s="48"/>
      <c r="U205" s="81"/>
      <c r="V205" s="82"/>
    </row>
    <row r="206" spans="1:22">
      <c r="A206" s="10">
        <v>1</v>
      </c>
      <c r="B206" s="329"/>
      <c r="C206" s="329" t="s">
        <v>661</v>
      </c>
      <c r="D206" s="327" t="s">
        <v>20</v>
      </c>
      <c r="E206" s="328"/>
      <c r="F206" s="328"/>
      <c r="G206" s="364"/>
      <c r="H206" s="364"/>
      <c r="I206" s="364"/>
      <c r="J206" s="329"/>
      <c r="K206" s="364"/>
      <c r="L206" s="329"/>
      <c r="M206" s="330"/>
      <c r="N206" s="330"/>
      <c r="O206" s="330"/>
      <c r="P206" s="330"/>
      <c r="Q206" s="365"/>
      <c r="R206" s="330"/>
      <c r="S206" s="331"/>
      <c r="T206" s="48"/>
      <c r="U206" s="87"/>
      <c r="V206" s="82"/>
    </row>
    <row r="207" spans="1:22">
      <c r="A207" s="10">
        <v>1</v>
      </c>
      <c r="B207" s="332"/>
      <c r="C207" s="332"/>
      <c r="D207" s="44" t="s">
        <v>21</v>
      </c>
      <c r="E207" s="45"/>
      <c r="F207" s="45"/>
      <c r="G207" s="332">
        <f>SUM(G208:G209)</f>
        <v>0</v>
      </c>
      <c r="H207" s="332"/>
      <c r="I207" s="332"/>
      <c r="J207" s="332">
        <f>SUM(J208:J209)</f>
        <v>0</v>
      </c>
      <c r="K207" s="332">
        <f>SUM(K208:K209)</f>
        <v>0</v>
      </c>
      <c r="L207" s="332">
        <f>SUM(L208:L209)</f>
        <v>0</v>
      </c>
      <c r="M207" s="333" t="e">
        <f t="shared" ref="M207:M225" si="152">L207/K207</f>
        <v>#DIV/0!</v>
      </c>
      <c r="N207" s="47"/>
      <c r="O207" s="47"/>
      <c r="P207" s="47"/>
      <c r="Q207" s="47"/>
      <c r="R207" s="47"/>
      <c r="S207" s="90"/>
      <c r="T207" s="48"/>
      <c r="U207" s="88"/>
      <c r="V207" s="89"/>
    </row>
    <row r="208" spans="1:22">
      <c r="A208" s="10">
        <v>1</v>
      </c>
      <c r="B208" s="93"/>
      <c r="C208" s="93" t="s">
        <v>250</v>
      </c>
      <c r="D208" s="50"/>
      <c r="E208" s="52"/>
      <c r="F208" s="92" t="s">
        <v>96</v>
      </c>
      <c r="G208" s="366"/>
      <c r="H208" s="366"/>
      <c r="I208" s="366"/>
      <c r="J208" s="54">
        <f>G208-H208+I208</f>
        <v>0</v>
      </c>
      <c r="K208" s="358"/>
      <c r="L208" s="55">
        <f t="shared" ref="L208:L209" si="153">J208-K208</f>
        <v>0</v>
      </c>
      <c r="M208" s="56" t="e">
        <f t="shared" si="152"/>
        <v>#DIV/0!</v>
      </c>
      <c r="N208" s="57" t="e">
        <f>G208/$N$12</f>
        <v>#DIV/0!</v>
      </c>
      <c r="O208" s="57" t="e">
        <f>G208*12/CurMonths/$O$12</f>
        <v>#DIV/0!</v>
      </c>
      <c r="P208" s="58" t="e">
        <f t="shared" ref="P208:P209" si="154">IF(ABS(O208)&gt;100%,"O","X")</f>
        <v>#DIV/0!</v>
      </c>
      <c r="Q208" s="367"/>
      <c r="R208" s="59" t="e">
        <f t="shared" ref="R208:R209" si="155">IF(P208="O","O",IF(Q208="O","O","X"))</f>
        <v>#DIV/0!</v>
      </c>
      <c r="S208" s="133"/>
      <c r="T208" s="61"/>
      <c r="V208" s="91"/>
    </row>
    <row r="209" spans="1:22">
      <c r="B209" s="93"/>
      <c r="C209" s="93" t="s">
        <v>250</v>
      </c>
      <c r="D209" s="50"/>
      <c r="E209" s="52"/>
      <c r="F209" s="92" t="s">
        <v>97</v>
      </c>
      <c r="G209" s="366"/>
      <c r="H209" s="366"/>
      <c r="I209" s="366"/>
      <c r="J209" s="54">
        <f>G209-H209+I209</f>
        <v>0</v>
      </c>
      <c r="K209" s="358"/>
      <c r="L209" s="55">
        <f t="shared" si="153"/>
        <v>0</v>
      </c>
      <c r="M209" s="56" t="e">
        <f t="shared" si="152"/>
        <v>#DIV/0!</v>
      </c>
      <c r="N209" s="57" t="e">
        <f>G209/$N$12</f>
        <v>#DIV/0!</v>
      </c>
      <c r="O209" s="57" t="e">
        <f>G209*12/CurMonths/$O$12</f>
        <v>#DIV/0!</v>
      </c>
      <c r="P209" s="58" t="e">
        <f t="shared" si="154"/>
        <v>#DIV/0!</v>
      </c>
      <c r="Q209" s="367"/>
      <c r="R209" s="59" t="e">
        <f t="shared" si="155"/>
        <v>#DIV/0!</v>
      </c>
      <c r="S209" s="133"/>
      <c r="T209" s="61"/>
      <c r="U209" s="48"/>
      <c r="V209" s="61"/>
    </row>
    <row r="210" spans="1:22">
      <c r="B210" s="332"/>
      <c r="C210" s="332"/>
      <c r="D210" s="44" t="s">
        <v>22</v>
      </c>
      <c r="E210" s="45"/>
      <c r="F210" s="45"/>
      <c r="G210" s="332">
        <f>G218+G211</f>
        <v>0</v>
      </c>
      <c r="H210" s="332"/>
      <c r="I210" s="332"/>
      <c r="J210" s="332">
        <f>J218+J211</f>
        <v>0</v>
      </c>
      <c r="K210" s="332">
        <f>K218+K211</f>
        <v>0</v>
      </c>
      <c r="L210" s="332">
        <f>L218+L211</f>
        <v>0</v>
      </c>
      <c r="M210" s="333" t="e">
        <f t="shared" si="152"/>
        <v>#DIV/0!</v>
      </c>
      <c r="N210" s="47"/>
      <c r="O210" s="47"/>
      <c r="P210" s="47"/>
      <c r="Q210" s="47"/>
      <c r="R210" s="47"/>
      <c r="S210" s="129"/>
      <c r="T210" s="96"/>
      <c r="U210" s="48"/>
      <c r="V210" s="95"/>
    </row>
    <row r="211" spans="1:22">
      <c r="A211" s="10">
        <v>1</v>
      </c>
      <c r="B211" s="334"/>
      <c r="C211" s="334" t="s">
        <v>251</v>
      </c>
      <c r="D211" s="50"/>
      <c r="E211" s="45" t="s">
        <v>106</v>
      </c>
      <c r="F211" s="52"/>
      <c r="G211" s="334">
        <f>SUM(G212:G217)</f>
        <v>0</v>
      </c>
      <c r="H211" s="334"/>
      <c r="I211" s="334"/>
      <c r="J211" s="334">
        <f>SUM(J212:J217)</f>
        <v>0</v>
      </c>
      <c r="K211" s="334">
        <f>SUM(K212:K217)</f>
        <v>0</v>
      </c>
      <c r="L211" s="334">
        <f>SUM(L212:L217)</f>
        <v>0</v>
      </c>
      <c r="M211" s="335" t="e">
        <f>L211/K211</f>
        <v>#DIV/0!</v>
      </c>
      <c r="N211" s="47"/>
      <c r="O211" s="47"/>
      <c r="P211" s="47"/>
      <c r="Q211" s="47"/>
      <c r="R211" s="47"/>
      <c r="S211" s="129"/>
      <c r="T211" s="61"/>
      <c r="U211" s="96"/>
      <c r="V211" s="61"/>
    </row>
    <row r="212" spans="1:22">
      <c r="B212" s="51"/>
      <c r="C212" s="51"/>
      <c r="D212" s="50"/>
      <c r="E212" s="52"/>
      <c r="F212" s="92" t="s">
        <v>460</v>
      </c>
      <c r="G212" s="358"/>
      <c r="H212" s="358"/>
      <c r="I212" s="368"/>
      <c r="J212" s="55">
        <f t="shared" ref="J212:J217" si="156">G212+H212-I212</f>
        <v>0</v>
      </c>
      <c r="K212" s="358"/>
      <c r="L212" s="55">
        <f t="shared" ref="L212:L217" si="157">J212-K212</f>
        <v>0</v>
      </c>
      <c r="M212" s="56" t="e">
        <f>L212/K212</f>
        <v>#DIV/0!</v>
      </c>
      <c r="N212" s="57" t="e">
        <f t="shared" ref="N212:N217" si="158">G212/$N$12</f>
        <v>#DIV/0!</v>
      </c>
      <c r="O212" s="57" t="e">
        <f t="shared" ref="O212:O217" si="159">G212*12/CurMonths/$O$12</f>
        <v>#DIV/0!</v>
      </c>
      <c r="P212" s="58" t="e">
        <f t="shared" ref="P212:P217" si="160">IF(ABS(O212)&gt;100%,"O","X")</f>
        <v>#DIV/0!</v>
      </c>
      <c r="Q212" s="367"/>
      <c r="R212" s="59" t="e">
        <f t="shared" ref="R212:R217" si="161">IF(P212="O","O",IF(Q212="O","O","X"))</f>
        <v>#DIV/0!</v>
      </c>
      <c r="S212" s="129"/>
      <c r="T212" s="96"/>
      <c r="U212" s="48"/>
      <c r="V212" s="61"/>
    </row>
    <row r="213" spans="1:22">
      <c r="B213" s="55"/>
      <c r="C213" s="55"/>
      <c r="D213" s="50"/>
      <c r="E213" s="52"/>
      <c r="F213" s="92" t="s">
        <v>461</v>
      </c>
      <c r="G213" s="358"/>
      <c r="H213" s="358"/>
      <c r="I213" s="358"/>
      <c r="J213" s="55">
        <f t="shared" si="156"/>
        <v>0</v>
      </c>
      <c r="K213" s="358"/>
      <c r="L213" s="55">
        <f t="shared" si="157"/>
        <v>0</v>
      </c>
      <c r="M213" s="56" t="e">
        <f>L213/K213</f>
        <v>#DIV/0!</v>
      </c>
      <c r="N213" s="57" t="e">
        <f t="shared" si="158"/>
        <v>#DIV/0!</v>
      </c>
      <c r="O213" s="57" t="e">
        <f t="shared" si="159"/>
        <v>#DIV/0!</v>
      </c>
      <c r="P213" s="58" t="e">
        <f t="shared" si="160"/>
        <v>#DIV/0!</v>
      </c>
      <c r="Q213" s="367"/>
      <c r="R213" s="59" t="e">
        <f t="shared" si="161"/>
        <v>#DIV/0!</v>
      </c>
      <c r="S213" s="336"/>
      <c r="T213" s="96"/>
      <c r="U213" s="48"/>
      <c r="V213" s="61"/>
    </row>
    <row r="214" spans="1:22">
      <c r="B214" s="55"/>
      <c r="C214" s="55"/>
      <c r="D214" s="50"/>
      <c r="E214" s="52"/>
      <c r="F214" s="92" t="s">
        <v>654</v>
      </c>
      <c r="G214" s="358"/>
      <c r="H214" s="358"/>
      <c r="I214" s="358"/>
      <c r="J214" s="55">
        <f t="shared" si="156"/>
        <v>0</v>
      </c>
      <c r="K214" s="358"/>
      <c r="L214" s="55">
        <f t="shared" ref="L214:L216" si="162">J214-K214</f>
        <v>0</v>
      </c>
      <c r="M214" s="56" t="e">
        <f t="shared" ref="M214:M216" si="163">L214/K214</f>
        <v>#DIV/0!</v>
      </c>
      <c r="N214" s="57" t="e">
        <f t="shared" si="158"/>
        <v>#DIV/0!</v>
      </c>
      <c r="O214" s="57" t="e">
        <f t="shared" si="159"/>
        <v>#DIV/0!</v>
      </c>
      <c r="P214" s="58" t="e">
        <f t="shared" ref="P214:P216" si="164">IF(ABS(O214)&gt;100%,"O","X")</f>
        <v>#DIV/0!</v>
      </c>
      <c r="Q214" s="367"/>
      <c r="R214" s="59" t="e">
        <f t="shared" ref="R214:R216" si="165">IF(P214="O","O",IF(Q214="O","O","X"))</f>
        <v>#DIV/0!</v>
      </c>
      <c r="S214" s="336"/>
      <c r="T214" s="96"/>
      <c r="U214" s="48"/>
      <c r="V214" s="61"/>
    </row>
    <row r="215" spans="1:22">
      <c r="B215" s="55"/>
      <c r="C215" s="55"/>
      <c r="D215" s="50"/>
      <c r="E215" s="52"/>
      <c r="F215" s="92" t="s">
        <v>655</v>
      </c>
      <c r="G215" s="358"/>
      <c r="H215" s="358"/>
      <c r="I215" s="358"/>
      <c r="J215" s="55">
        <f t="shared" si="156"/>
        <v>0</v>
      </c>
      <c r="K215" s="358"/>
      <c r="L215" s="55">
        <f t="shared" si="162"/>
        <v>0</v>
      </c>
      <c r="M215" s="56" t="e">
        <f t="shared" si="163"/>
        <v>#DIV/0!</v>
      </c>
      <c r="N215" s="57" t="e">
        <f t="shared" si="158"/>
        <v>#DIV/0!</v>
      </c>
      <c r="O215" s="57" t="e">
        <f t="shared" si="159"/>
        <v>#DIV/0!</v>
      </c>
      <c r="P215" s="58" t="e">
        <f t="shared" si="164"/>
        <v>#DIV/0!</v>
      </c>
      <c r="Q215" s="367"/>
      <c r="R215" s="59" t="e">
        <f t="shared" si="165"/>
        <v>#DIV/0!</v>
      </c>
      <c r="S215" s="336"/>
      <c r="T215" s="96"/>
      <c r="U215" s="48"/>
      <c r="V215" s="61"/>
    </row>
    <row r="216" spans="1:22">
      <c r="B216" s="55"/>
      <c r="C216" s="55"/>
      <c r="D216" s="50"/>
      <c r="E216" s="52"/>
      <c r="F216" s="92" t="s">
        <v>463</v>
      </c>
      <c r="G216" s="358"/>
      <c r="H216" s="358"/>
      <c r="I216" s="358"/>
      <c r="J216" s="55">
        <f t="shared" si="156"/>
        <v>0</v>
      </c>
      <c r="K216" s="358"/>
      <c r="L216" s="55">
        <f t="shared" si="162"/>
        <v>0</v>
      </c>
      <c r="M216" s="56" t="e">
        <f t="shared" si="163"/>
        <v>#DIV/0!</v>
      </c>
      <c r="N216" s="57" t="e">
        <f t="shared" si="158"/>
        <v>#DIV/0!</v>
      </c>
      <c r="O216" s="57" t="e">
        <f t="shared" si="159"/>
        <v>#DIV/0!</v>
      </c>
      <c r="P216" s="58" t="e">
        <f t="shared" si="164"/>
        <v>#DIV/0!</v>
      </c>
      <c r="Q216" s="367"/>
      <c r="R216" s="59" t="e">
        <f t="shared" si="165"/>
        <v>#DIV/0!</v>
      </c>
      <c r="S216" s="336"/>
      <c r="T216" s="96"/>
      <c r="U216" s="48"/>
      <c r="V216" s="61"/>
    </row>
    <row r="217" spans="1:22">
      <c r="B217" s="55"/>
      <c r="C217" s="55"/>
      <c r="D217" s="50"/>
      <c r="E217" s="52"/>
      <c r="F217" s="92" t="s">
        <v>656</v>
      </c>
      <c r="G217" s="358"/>
      <c r="H217" s="358"/>
      <c r="I217" s="358"/>
      <c r="J217" s="55">
        <f t="shared" si="156"/>
        <v>0</v>
      </c>
      <c r="K217" s="358"/>
      <c r="L217" s="55">
        <f t="shared" si="157"/>
        <v>0</v>
      </c>
      <c r="M217" s="56" t="e">
        <f>L217/K217</f>
        <v>#DIV/0!</v>
      </c>
      <c r="N217" s="57" t="e">
        <f t="shared" si="158"/>
        <v>#DIV/0!</v>
      </c>
      <c r="O217" s="57" t="e">
        <f t="shared" si="159"/>
        <v>#DIV/0!</v>
      </c>
      <c r="P217" s="58" t="e">
        <f t="shared" si="160"/>
        <v>#DIV/0!</v>
      </c>
      <c r="Q217" s="367"/>
      <c r="R217" s="59" t="e">
        <f t="shared" si="161"/>
        <v>#DIV/0!</v>
      </c>
      <c r="S217" s="129"/>
      <c r="T217" s="96"/>
      <c r="U217" s="97"/>
      <c r="V217" s="61"/>
    </row>
    <row r="218" spans="1:22">
      <c r="A218" s="10">
        <v>1</v>
      </c>
      <c r="B218" s="334"/>
      <c r="C218" s="334" t="s">
        <v>251</v>
      </c>
      <c r="D218" s="50"/>
      <c r="E218" s="45" t="s">
        <v>23</v>
      </c>
      <c r="F218" s="52"/>
      <c r="G218" s="334">
        <f>SUM(G219:G224)</f>
        <v>0</v>
      </c>
      <c r="H218" s="334"/>
      <c r="I218" s="334"/>
      <c r="J218" s="334">
        <f>SUM(J219:J224)</f>
        <v>0</v>
      </c>
      <c r="K218" s="334">
        <f>SUM(K219:K224)</f>
        <v>0</v>
      </c>
      <c r="L218" s="334">
        <f>J218-K218</f>
        <v>0</v>
      </c>
      <c r="M218" s="335" t="e">
        <f t="shared" si="152"/>
        <v>#DIV/0!</v>
      </c>
      <c r="N218" s="47"/>
      <c r="O218" s="47"/>
      <c r="P218" s="47"/>
      <c r="Q218" s="47"/>
      <c r="R218" s="47"/>
      <c r="S218" s="133"/>
      <c r="T218" s="61"/>
      <c r="U218" s="48"/>
      <c r="V218" s="61"/>
    </row>
    <row r="219" spans="1:22">
      <c r="A219" s="10">
        <v>1</v>
      </c>
      <c r="B219" s="55"/>
      <c r="C219" s="55"/>
      <c r="D219" s="50"/>
      <c r="E219" s="52"/>
      <c r="F219" s="52" t="s">
        <v>40</v>
      </c>
      <c r="G219" s="358"/>
      <c r="H219" s="358"/>
      <c r="I219" s="358"/>
      <c r="J219" s="55">
        <f t="shared" ref="J219:J224" si="166">G219+H219-I219</f>
        <v>0</v>
      </c>
      <c r="K219" s="358"/>
      <c r="L219" s="55">
        <f t="shared" ref="L219:L224" si="167">J219-K219</f>
        <v>0</v>
      </c>
      <c r="M219" s="56" t="e">
        <f t="shared" si="152"/>
        <v>#DIV/0!</v>
      </c>
      <c r="N219" s="57" t="e">
        <f t="shared" ref="N219:N224" si="168">G219/$N$12</f>
        <v>#DIV/0!</v>
      </c>
      <c r="O219" s="57" t="e">
        <f t="shared" ref="O219:O224" si="169">G219*12/CurMonths/$O$12</f>
        <v>#DIV/0!</v>
      </c>
      <c r="P219" s="58" t="e">
        <f t="shared" ref="P219:P224" si="170">IF(ABS(O219)&gt;100%,"O","X")</f>
        <v>#DIV/0!</v>
      </c>
      <c r="Q219" s="367"/>
      <c r="R219" s="59" t="e">
        <f t="shared" ref="R219:R224" si="171">IF(P219="O","O",IF(Q219="O","O","X"))</f>
        <v>#DIV/0!</v>
      </c>
      <c r="S219" s="133"/>
      <c r="T219" s="96"/>
      <c r="U219" s="48"/>
      <c r="V219" s="61"/>
    </row>
    <row r="220" spans="1:22">
      <c r="A220" s="10">
        <v>1</v>
      </c>
      <c r="B220" s="55"/>
      <c r="C220" s="55"/>
      <c r="D220" s="50"/>
      <c r="E220" s="52"/>
      <c r="F220" s="52" t="s">
        <v>41</v>
      </c>
      <c r="G220" s="358"/>
      <c r="H220" s="358"/>
      <c r="I220" s="358"/>
      <c r="J220" s="55">
        <f t="shared" si="166"/>
        <v>0</v>
      </c>
      <c r="K220" s="358"/>
      <c r="L220" s="55">
        <f t="shared" si="167"/>
        <v>0</v>
      </c>
      <c r="M220" s="56" t="e">
        <f t="shared" si="152"/>
        <v>#DIV/0!</v>
      </c>
      <c r="N220" s="57" t="e">
        <f t="shared" si="168"/>
        <v>#DIV/0!</v>
      </c>
      <c r="O220" s="57" t="e">
        <f t="shared" si="169"/>
        <v>#DIV/0!</v>
      </c>
      <c r="P220" s="58" t="e">
        <f t="shared" si="170"/>
        <v>#DIV/0!</v>
      </c>
      <c r="Q220" s="367"/>
      <c r="R220" s="59" t="e">
        <f t="shared" si="171"/>
        <v>#DIV/0!</v>
      </c>
      <c r="S220" s="346"/>
      <c r="T220" s="280"/>
      <c r="U220" s="48"/>
      <c r="V220" s="61"/>
    </row>
    <row r="221" spans="1:22">
      <c r="A221" s="10">
        <v>1</v>
      </c>
      <c r="B221" s="55"/>
      <c r="C221" s="55"/>
      <c r="D221" s="50"/>
      <c r="E221" s="52"/>
      <c r="F221" s="52" t="s">
        <v>462</v>
      </c>
      <c r="G221" s="358"/>
      <c r="H221" s="358"/>
      <c r="I221" s="358"/>
      <c r="J221" s="55">
        <f t="shared" si="166"/>
        <v>0</v>
      </c>
      <c r="K221" s="358"/>
      <c r="L221" s="55">
        <f t="shared" si="167"/>
        <v>0</v>
      </c>
      <c r="M221" s="56" t="e">
        <f t="shared" si="152"/>
        <v>#DIV/0!</v>
      </c>
      <c r="N221" s="57" t="e">
        <f t="shared" si="168"/>
        <v>#DIV/0!</v>
      </c>
      <c r="O221" s="57" t="e">
        <f t="shared" si="169"/>
        <v>#DIV/0!</v>
      </c>
      <c r="P221" s="58" t="e">
        <f t="shared" si="170"/>
        <v>#DIV/0!</v>
      </c>
      <c r="Q221" s="367"/>
      <c r="R221" s="59" t="e">
        <f t="shared" si="171"/>
        <v>#DIV/0!</v>
      </c>
      <c r="S221" s="346"/>
      <c r="T221" s="281"/>
      <c r="U221" s="48"/>
      <c r="V221" s="61"/>
    </row>
    <row r="222" spans="1:22">
      <c r="A222" s="10">
        <v>1</v>
      </c>
      <c r="B222" s="55"/>
      <c r="C222" s="55"/>
      <c r="D222" s="50"/>
      <c r="E222" s="52"/>
      <c r="F222" s="52" t="s">
        <v>463</v>
      </c>
      <c r="G222" s="358"/>
      <c r="H222" s="358"/>
      <c r="I222" s="358"/>
      <c r="J222" s="55">
        <f t="shared" si="166"/>
        <v>0</v>
      </c>
      <c r="K222" s="358"/>
      <c r="L222" s="55">
        <f t="shared" si="167"/>
        <v>0</v>
      </c>
      <c r="M222" s="56" t="e">
        <f t="shared" si="152"/>
        <v>#DIV/0!</v>
      </c>
      <c r="N222" s="57" t="e">
        <f t="shared" si="168"/>
        <v>#DIV/0!</v>
      </c>
      <c r="O222" s="57" t="e">
        <f t="shared" si="169"/>
        <v>#DIV/0!</v>
      </c>
      <c r="P222" s="58" t="e">
        <f t="shared" si="170"/>
        <v>#DIV/0!</v>
      </c>
      <c r="Q222" s="367"/>
      <c r="R222" s="59" t="e">
        <f t="shared" si="171"/>
        <v>#DIV/0!</v>
      </c>
      <c r="S222" s="94"/>
      <c r="T222" s="61"/>
      <c r="U222" s="48"/>
      <c r="V222" s="61"/>
    </row>
    <row r="223" spans="1:22">
      <c r="B223" s="55"/>
      <c r="C223" s="55"/>
      <c r="D223" s="50"/>
      <c r="E223" s="52"/>
      <c r="F223" s="52" t="s">
        <v>464</v>
      </c>
      <c r="G223" s="358"/>
      <c r="H223" s="358"/>
      <c r="I223" s="358"/>
      <c r="J223" s="55">
        <f t="shared" si="166"/>
        <v>0</v>
      </c>
      <c r="K223" s="358"/>
      <c r="L223" s="55"/>
      <c r="M223" s="56" t="e">
        <f t="shared" ref="M223" si="172">L223/K223</f>
        <v>#DIV/0!</v>
      </c>
      <c r="N223" s="57" t="e">
        <f t="shared" si="168"/>
        <v>#DIV/0!</v>
      </c>
      <c r="O223" s="57" t="e">
        <f t="shared" si="169"/>
        <v>#DIV/0!</v>
      </c>
      <c r="P223" s="58" t="e">
        <f t="shared" ref="P223" si="173">IF(ABS(O223)&gt;100%,"O","X")</f>
        <v>#DIV/0!</v>
      </c>
      <c r="Q223" s="367"/>
      <c r="R223" s="59" t="e">
        <f t="shared" ref="R223" si="174">IF(P223="O","O",IF(Q223="O","O","X"))</f>
        <v>#DIV/0!</v>
      </c>
      <c r="S223" s="94"/>
      <c r="T223" s="61"/>
      <c r="U223" s="48"/>
      <c r="V223" s="61"/>
    </row>
    <row r="224" spans="1:22">
      <c r="B224" s="55"/>
      <c r="C224" s="55"/>
      <c r="D224" s="50"/>
      <c r="E224" s="52"/>
      <c r="F224" s="52" t="s">
        <v>465</v>
      </c>
      <c r="G224" s="358"/>
      <c r="H224" s="358"/>
      <c r="I224" s="358"/>
      <c r="J224" s="55">
        <f t="shared" si="166"/>
        <v>0</v>
      </c>
      <c r="K224" s="358"/>
      <c r="L224" s="55">
        <f t="shared" si="167"/>
        <v>0</v>
      </c>
      <c r="M224" s="56" t="e">
        <f t="shared" si="152"/>
        <v>#DIV/0!</v>
      </c>
      <c r="N224" s="57" t="e">
        <f t="shared" si="168"/>
        <v>#DIV/0!</v>
      </c>
      <c r="O224" s="57" t="e">
        <f t="shared" si="169"/>
        <v>#DIV/0!</v>
      </c>
      <c r="P224" s="58" t="e">
        <f t="shared" si="170"/>
        <v>#DIV/0!</v>
      </c>
      <c r="Q224" s="367"/>
      <c r="R224" s="59" t="e">
        <f t="shared" si="171"/>
        <v>#DIV/0!</v>
      </c>
      <c r="S224" s="129"/>
      <c r="T224" s="96"/>
      <c r="U224" s="48"/>
      <c r="V224" s="61"/>
    </row>
    <row r="225" spans="1:22">
      <c r="B225" s="332"/>
      <c r="C225" s="332"/>
      <c r="D225" s="98" t="s">
        <v>24</v>
      </c>
      <c r="E225" s="99"/>
      <c r="F225" s="99"/>
      <c r="G225" s="332">
        <f>+G207-G210</f>
        <v>0</v>
      </c>
      <c r="H225" s="332"/>
      <c r="I225" s="332"/>
      <c r="J225" s="332">
        <f>+J207-J210</f>
        <v>0</v>
      </c>
      <c r="K225" s="332">
        <f>+K207-K210</f>
        <v>0</v>
      </c>
      <c r="L225" s="332">
        <f>J225-K225</f>
        <v>0</v>
      </c>
      <c r="M225" s="333" t="e">
        <f t="shared" si="152"/>
        <v>#DIV/0!</v>
      </c>
      <c r="N225" s="47"/>
      <c r="O225" s="47"/>
      <c r="P225" s="47"/>
      <c r="Q225" s="47"/>
      <c r="R225" s="47"/>
      <c r="S225" s="325"/>
      <c r="T225" s="282"/>
      <c r="U225" s="48"/>
      <c r="V225" s="61"/>
    </row>
    <row r="226" spans="1:22">
      <c r="A226" s="10">
        <v>1</v>
      </c>
      <c r="B226" s="103"/>
      <c r="C226" s="103"/>
      <c r="D226" s="100"/>
      <c r="E226" s="101" t="s">
        <v>25</v>
      </c>
      <c r="F226" s="102"/>
      <c r="G226" s="103" t="e">
        <f>G225/G207</f>
        <v>#DIV/0!</v>
      </c>
      <c r="H226" s="103"/>
      <c r="I226" s="103"/>
      <c r="J226" s="103" t="e">
        <f>J225/J207</f>
        <v>#DIV/0!</v>
      </c>
      <c r="K226" s="103" t="e">
        <f>K225/K207</f>
        <v>#DIV/0!</v>
      </c>
      <c r="L226" s="103" t="e">
        <f>J226-K226</f>
        <v>#DIV/0!</v>
      </c>
      <c r="M226" s="56"/>
      <c r="N226" s="56"/>
      <c r="O226" s="56"/>
      <c r="P226" s="56"/>
      <c r="Q226" s="56"/>
      <c r="R226" s="56"/>
      <c r="S226" s="94"/>
      <c r="T226" s="61"/>
      <c r="U226" s="48"/>
      <c r="V226" s="61"/>
    </row>
    <row r="227" spans="1:22">
      <c r="A227" s="10">
        <v>1</v>
      </c>
      <c r="B227" s="103"/>
      <c r="C227" s="103"/>
      <c r="D227" s="100"/>
      <c r="E227" s="101" t="s">
        <v>111</v>
      </c>
      <c r="F227" s="102"/>
      <c r="G227" s="103" t="e">
        <f>1-(G218/G208)</f>
        <v>#DIV/0!</v>
      </c>
      <c r="H227" s="103"/>
      <c r="I227" s="103"/>
      <c r="J227" s="103" t="e">
        <f>1-(J218/J208)</f>
        <v>#DIV/0!</v>
      </c>
      <c r="K227" s="103" t="e">
        <f>1-(K218/K208)</f>
        <v>#DIV/0!</v>
      </c>
      <c r="L227" s="103" t="e">
        <f>J227-K227</f>
        <v>#DIV/0!</v>
      </c>
      <c r="M227" s="56"/>
      <c r="N227" s="56"/>
      <c r="O227" s="56"/>
      <c r="P227" s="56"/>
      <c r="Q227" s="56"/>
      <c r="R227" s="56"/>
      <c r="S227" s="133"/>
      <c r="T227" s="61"/>
      <c r="U227" s="48"/>
      <c r="V227" s="61"/>
    </row>
    <row r="228" spans="1:22">
      <c r="B228" s="103"/>
      <c r="C228" s="103"/>
      <c r="D228" s="104"/>
      <c r="E228" s="105" t="s">
        <v>112</v>
      </c>
      <c r="F228" s="106"/>
      <c r="G228" s="103" t="e">
        <f>1-(G211/G209)</f>
        <v>#DIV/0!</v>
      </c>
      <c r="H228" s="103"/>
      <c r="I228" s="103"/>
      <c r="J228" s="103" t="e">
        <f>1-(J211/J209)</f>
        <v>#DIV/0!</v>
      </c>
      <c r="K228" s="103" t="e">
        <f>1-(K211/K209)</f>
        <v>#DIV/0!</v>
      </c>
      <c r="L228" s="103" t="e">
        <f>J228-K228</f>
        <v>#DIV/0!</v>
      </c>
      <c r="M228" s="56"/>
      <c r="N228" s="56"/>
      <c r="O228" s="56"/>
      <c r="P228" s="56"/>
      <c r="Q228" s="56"/>
      <c r="R228" s="56"/>
      <c r="S228" s="94"/>
      <c r="T228" s="61"/>
      <c r="U228" s="48"/>
      <c r="V228" s="61"/>
    </row>
    <row r="229" spans="1:22">
      <c r="B229" s="332"/>
      <c r="C229" s="332"/>
      <c r="D229" s="107" t="s">
        <v>26</v>
      </c>
      <c r="E229" s="107"/>
      <c r="F229" s="108"/>
      <c r="G229" s="332">
        <f>SUM(G230:G256)</f>
        <v>0</v>
      </c>
      <c r="H229" s="332"/>
      <c r="I229" s="332"/>
      <c r="J229" s="332">
        <f>SUM(J230:J256)</f>
        <v>0</v>
      </c>
      <c r="K229" s="332">
        <f>SUM(K230:K256)</f>
        <v>0</v>
      </c>
      <c r="L229" s="332">
        <f>J229-K229</f>
        <v>0</v>
      </c>
      <c r="M229" s="333" t="e">
        <f t="shared" ref="M229:M259" si="175">L229/K229</f>
        <v>#DIV/0!</v>
      </c>
      <c r="N229" s="47"/>
      <c r="O229" s="47"/>
      <c r="P229" s="47"/>
      <c r="Q229" s="47"/>
      <c r="R229" s="47"/>
      <c r="S229" s="133"/>
      <c r="T229" s="96"/>
      <c r="U229" s="48"/>
      <c r="V229" s="61"/>
    </row>
    <row r="230" spans="1:22">
      <c r="A230" s="10">
        <v>1</v>
      </c>
      <c r="B230" s="93"/>
      <c r="C230" s="93" t="s">
        <v>77</v>
      </c>
      <c r="D230" s="109"/>
      <c r="E230" s="110"/>
      <c r="F230" s="111" t="s">
        <v>466</v>
      </c>
      <c r="G230" s="366"/>
      <c r="H230" s="366"/>
      <c r="I230" s="366"/>
      <c r="J230" s="55">
        <f t="shared" ref="J230:J256" si="176">G230+H230-I230</f>
        <v>0</v>
      </c>
      <c r="K230" s="358"/>
      <c r="L230" s="55">
        <f t="shared" ref="L230:L258" si="177">J230-K230</f>
        <v>0</v>
      </c>
      <c r="M230" s="56" t="e">
        <f t="shared" si="175"/>
        <v>#DIV/0!</v>
      </c>
      <c r="N230" s="57" t="e">
        <f t="shared" ref="N230:N258" si="178">G230/$N$12</f>
        <v>#DIV/0!</v>
      </c>
      <c r="O230" s="57" t="e">
        <f t="shared" ref="O230:O258" si="179">G230*12/CurMonths/$O$12</f>
        <v>#DIV/0!</v>
      </c>
      <c r="P230" s="58" t="e">
        <f t="shared" ref="P230:P258" si="180">IF(ABS(O230)&gt;100%,"O","X")</f>
        <v>#DIV/0!</v>
      </c>
      <c r="Q230" s="367"/>
      <c r="R230" s="59" t="e">
        <f t="shared" ref="R230:R258" si="181">IF(P230="O","O",IF(Q230="O","O","X"))</f>
        <v>#DIV/0!</v>
      </c>
      <c r="S230" s="347"/>
      <c r="T230" s="317"/>
      <c r="U230" s="48"/>
      <c r="V230" s="61"/>
    </row>
    <row r="231" spans="1:22">
      <c r="A231" s="10">
        <v>1</v>
      </c>
      <c r="B231" s="93"/>
      <c r="C231" s="93" t="s">
        <v>77</v>
      </c>
      <c r="D231" s="50"/>
      <c r="E231" s="52"/>
      <c r="F231" s="92" t="s">
        <v>467</v>
      </c>
      <c r="G231" s="366"/>
      <c r="H231" s="366"/>
      <c r="I231" s="366"/>
      <c r="J231" s="55">
        <f t="shared" si="176"/>
        <v>0</v>
      </c>
      <c r="K231" s="369"/>
      <c r="L231" s="55">
        <f t="shared" si="177"/>
        <v>0</v>
      </c>
      <c r="M231" s="56" t="e">
        <f t="shared" si="175"/>
        <v>#DIV/0!</v>
      </c>
      <c r="N231" s="57" t="e">
        <f t="shared" si="178"/>
        <v>#DIV/0!</v>
      </c>
      <c r="O231" s="57" t="e">
        <f t="shared" si="179"/>
        <v>#DIV/0!</v>
      </c>
      <c r="P231" s="58" t="e">
        <f t="shared" si="180"/>
        <v>#DIV/0!</v>
      </c>
      <c r="Q231" s="367"/>
      <c r="R231" s="59" t="e">
        <f t="shared" si="181"/>
        <v>#DIV/0!</v>
      </c>
      <c r="S231" s="133"/>
      <c r="T231" s="61"/>
      <c r="U231" s="48"/>
      <c r="V231" s="61"/>
    </row>
    <row r="232" spans="1:22">
      <c r="A232" s="10">
        <v>1</v>
      </c>
      <c r="B232" s="93"/>
      <c r="C232" s="93" t="s">
        <v>77</v>
      </c>
      <c r="D232" s="50"/>
      <c r="E232" s="52"/>
      <c r="F232" s="92" t="s">
        <v>468</v>
      </c>
      <c r="G232" s="366"/>
      <c r="H232" s="366"/>
      <c r="I232" s="366"/>
      <c r="J232" s="55">
        <f t="shared" si="176"/>
        <v>0</v>
      </c>
      <c r="K232" s="369"/>
      <c r="L232" s="55">
        <f t="shared" si="177"/>
        <v>0</v>
      </c>
      <c r="M232" s="56" t="e">
        <f t="shared" si="175"/>
        <v>#DIV/0!</v>
      </c>
      <c r="N232" s="57" t="e">
        <f t="shared" si="178"/>
        <v>#DIV/0!</v>
      </c>
      <c r="O232" s="57" t="e">
        <f t="shared" si="179"/>
        <v>#DIV/0!</v>
      </c>
      <c r="P232" s="58" t="e">
        <f t="shared" si="180"/>
        <v>#DIV/0!</v>
      </c>
      <c r="Q232" s="367"/>
      <c r="R232" s="59" t="e">
        <f t="shared" si="181"/>
        <v>#DIV/0!</v>
      </c>
      <c r="S232" s="129"/>
      <c r="T232" s="96"/>
      <c r="U232" s="48"/>
      <c r="V232" s="61"/>
    </row>
    <row r="233" spans="1:22">
      <c r="A233" s="10">
        <v>1</v>
      </c>
      <c r="B233" s="93"/>
      <c r="C233" s="93" t="s">
        <v>77</v>
      </c>
      <c r="D233" s="50"/>
      <c r="E233" s="52"/>
      <c r="F233" s="92" t="s">
        <v>469</v>
      </c>
      <c r="G233" s="358"/>
      <c r="H233" s="366"/>
      <c r="I233" s="366"/>
      <c r="J233" s="55">
        <f t="shared" si="176"/>
        <v>0</v>
      </c>
      <c r="K233" s="369"/>
      <c r="L233" s="55">
        <f t="shared" si="177"/>
        <v>0</v>
      </c>
      <c r="M233" s="56" t="e">
        <f t="shared" si="175"/>
        <v>#DIV/0!</v>
      </c>
      <c r="N233" s="57" t="e">
        <f t="shared" si="178"/>
        <v>#DIV/0!</v>
      </c>
      <c r="O233" s="57" t="e">
        <f t="shared" si="179"/>
        <v>#DIV/0!</v>
      </c>
      <c r="P233" s="58" t="e">
        <f t="shared" si="180"/>
        <v>#DIV/0!</v>
      </c>
      <c r="Q233" s="367"/>
      <c r="R233" s="59" t="e">
        <f t="shared" si="181"/>
        <v>#DIV/0!</v>
      </c>
      <c r="S233" s="94"/>
      <c r="T233" s="61"/>
      <c r="U233" s="48"/>
      <c r="V233" s="61"/>
    </row>
    <row r="234" spans="1:22">
      <c r="A234" s="10">
        <v>1</v>
      </c>
      <c r="B234" s="93"/>
      <c r="C234" s="93" t="s">
        <v>77</v>
      </c>
      <c r="D234" s="50"/>
      <c r="E234" s="52"/>
      <c r="F234" s="92" t="s">
        <v>71</v>
      </c>
      <c r="G234" s="366"/>
      <c r="H234" s="366"/>
      <c r="I234" s="366"/>
      <c r="J234" s="55">
        <f t="shared" si="176"/>
        <v>0</v>
      </c>
      <c r="K234" s="369"/>
      <c r="L234" s="55">
        <f t="shared" si="177"/>
        <v>0</v>
      </c>
      <c r="M234" s="56" t="e">
        <f t="shared" si="175"/>
        <v>#DIV/0!</v>
      </c>
      <c r="N234" s="57" t="e">
        <f t="shared" si="178"/>
        <v>#DIV/0!</v>
      </c>
      <c r="O234" s="57" t="e">
        <f t="shared" si="179"/>
        <v>#DIV/0!</v>
      </c>
      <c r="P234" s="58" t="e">
        <f t="shared" si="180"/>
        <v>#DIV/0!</v>
      </c>
      <c r="Q234" s="367"/>
      <c r="R234" s="59" t="e">
        <f t="shared" si="181"/>
        <v>#DIV/0!</v>
      </c>
      <c r="S234" s="94"/>
      <c r="T234" s="96"/>
      <c r="U234" s="48"/>
      <c r="V234" s="61"/>
    </row>
    <row r="235" spans="1:22">
      <c r="A235" s="10">
        <v>1</v>
      </c>
      <c r="B235" s="93"/>
      <c r="C235" s="93" t="s">
        <v>77</v>
      </c>
      <c r="D235" s="50"/>
      <c r="E235" s="52"/>
      <c r="F235" s="92" t="s">
        <v>51</v>
      </c>
      <c r="G235" s="366"/>
      <c r="H235" s="366"/>
      <c r="I235" s="366"/>
      <c r="J235" s="55">
        <f t="shared" si="176"/>
        <v>0</v>
      </c>
      <c r="K235" s="369"/>
      <c r="L235" s="55">
        <f t="shared" si="177"/>
        <v>0</v>
      </c>
      <c r="M235" s="56" t="e">
        <f t="shared" si="175"/>
        <v>#DIV/0!</v>
      </c>
      <c r="N235" s="57" t="e">
        <f t="shared" si="178"/>
        <v>#DIV/0!</v>
      </c>
      <c r="O235" s="57" t="e">
        <f t="shared" si="179"/>
        <v>#DIV/0!</v>
      </c>
      <c r="P235" s="58" t="e">
        <f t="shared" si="180"/>
        <v>#DIV/0!</v>
      </c>
      <c r="Q235" s="367"/>
      <c r="R235" s="59" t="e">
        <f t="shared" si="181"/>
        <v>#DIV/0!</v>
      </c>
      <c r="S235" s="336"/>
      <c r="T235" s="61"/>
      <c r="U235" s="48"/>
      <c r="V235" s="61"/>
    </row>
    <row r="236" spans="1:22">
      <c r="B236" s="93"/>
      <c r="C236" s="93" t="s">
        <v>77</v>
      </c>
      <c r="D236" s="50"/>
      <c r="E236" s="52"/>
      <c r="F236" s="92" t="s">
        <v>42</v>
      </c>
      <c r="G236" s="366"/>
      <c r="H236" s="366"/>
      <c r="I236" s="366"/>
      <c r="J236" s="55">
        <f t="shared" si="176"/>
        <v>0</v>
      </c>
      <c r="K236" s="369"/>
      <c r="L236" s="55">
        <f t="shared" si="177"/>
        <v>0</v>
      </c>
      <c r="M236" s="56" t="e">
        <f t="shared" ref="M236" si="182">L236/K236</f>
        <v>#DIV/0!</v>
      </c>
      <c r="N236" s="57" t="e">
        <f t="shared" si="178"/>
        <v>#DIV/0!</v>
      </c>
      <c r="O236" s="57" t="e">
        <f t="shared" si="179"/>
        <v>#DIV/0!</v>
      </c>
      <c r="P236" s="58" t="e">
        <f t="shared" ref="P236" si="183">IF(ABS(O236)&gt;100%,"O","X")</f>
        <v>#DIV/0!</v>
      </c>
      <c r="Q236" s="367"/>
      <c r="R236" s="59" t="e">
        <f t="shared" ref="R236" si="184">IF(P236="O","O",IF(Q236="O","O","X"))</f>
        <v>#DIV/0!</v>
      </c>
      <c r="S236" s="94"/>
      <c r="T236" s="61"/>
      <c r="U236" s="48"/>
      <c r="V236" s="61"/>
    </row>
    <row r="237" spans="1:22">
      <c r="B237" s="93"/>
      <c r="C237" s="93" t="s">
        <v>77</v>
      </c>
      <c r="D237" s="50"/>
      <c r="E237" s="52"/>
      <c r="F237" s="92" t="s">
        <v>43</v>
      </c>
      <c r="G237" s="366"/>
      <c r="H237" s="366"/>
      <c r="I237" s="366"/>
      <c r="J237" s="55">
        <f t="shared" si="176"/>
        <v>0</v>
      </c>
      <c r="K237" s="369"/>
      <c r="L237" s="55">
        <f t="shared" si="177"/>
        <v>0</v>
      </c>
      <c r="M237" s="56" t="e">
        <f t="shared" si="175"/>
        <v>#DIV/0!</v>
      </c>
      <c r="N237" s="57" t="e">
        <f t="shared" si="178"/>
        <v>#DIV/0!</v>
      </c>
      <c r="O237" s="57" t="e">
        <f t="shared" si="179"/>
        <v>#DIV/0!</v>
      </c>
      <c r="P237" s="58" t="e">
        <f t="shared" si="180"/>
        <v>#DIV/0!</v>
      </c>
      <c r="Q237" s="367"/>
      <c r="R237" s="59" t="e">
        <f t="shared" si="181"/>
        <v>#DIV/0!</v>
      </c>
      <c r="S237" s="94"/>
      <c r="T237" s="61"/>
      <c r="U237" s="48"/>
      <c r="V237" s="61"/>
    </row>
    <row r="238" spans="1:22">
      <c r="B238" s="93"/>
      <c r="C238" s="93" t="s">
        <v>77</v>
      </c>
      <c r="D238" s="50"/>
      <c r="E238" s="52"/>
      <c r="F238" s="92" t="s">
        <v>44</v>
      </c>
      <c r="G238" s="366"/>
      <c r="H238" s="366"/>
      <c r="I238" s="366"/>
      <c r="J238" s="55">
        <f t="shared" si="176"/>
        <v>0</v>
      </c>
      <c r="K238" s="369"/>
      <c r="L238" s="55">
        <f t="shared" si="177"/>
        <v>0</v>
      </c>
      <c r="M238" s="56" t="e">
        <f t="shared" si="175"/>
        <v>#DIV/0!</v>
      </c>
      <c r="N238" s="57" t="e">
        <f t="shared" si="178"/>
        <v>#DIV/0!</v>
      </c>
      <c r="O238" s="57" t="e">
        <f t="shared" si="179"/>
        <v>#DIV/0!</v>
      </c>
      <c r="P238" s="58" t="e">
        <f t="shared" si="180"/>
        <v>#DIV/0!</v>
      </c>
      <c r="Q238" s="367"/>
      <c r="R238" s="59" t="e">
        <f t="shared" si="181"/>
        <v>#DIV/0!</v>
      </c>
      <c r="S238" s="94"/>
      <c r="T238" s="61"/>
      <c r="U238" s="48"/>
      <c r="V238" s="61"/>
    </row>
    <row r="239" spans="1:22">
      <c r="B239" s="93"/>
      <c r="C239" s="93" t="s">
        <v>77</v>
      </c>
      <c r="D239" s="50"/>
      <c r="E239" s="52"/>
      <c r="F239" s="92" t="s">
        <v>107</v>
      </c>
      <c r="G239" s="366"/>
      <c r="H239" s="366"/>
      <c r="I239" s="366"/>
      <c r="J239" s="55">
        <f t="shared" si="176"/>
        <v>0</v>
      </c>
      <c r="K239" s="369"/>
      <c r="L239" s="55">
        <f t="shared" si="177"/>
        <v>0</v>
      </c>
      <c r="M239" s="56" t="e">
        <f t="shared" si="175"/>
        <v>#DIV/0!</v>
      </c>
      <c r="N239" s="57" t="e">
        <f t="shared" si="178"/>
        <v>#DIV/0!</v>
      </c>
      <c r="O239" s="57" t="e">
        <f t="shared" si="179"/>
        <v>#DIV/0!</v>
      </c>
      <c r="P239" s="58" t="e">
        <f t="shared" si="180"/>
        <v>#DIV/0!</v>
      </c>
      <c r="Q239" s="367"/>
      <c r="R239" s="59" t="e">
        <f t="shared" si="181"/>
        <v>#DIV/0!</v>
      </c>
      <c r="S239" s="94"/>
      <c r="T239" s="61"/>
      <c r="U239" s="48"/>
      <c r="V239" s="61"/>
    </row>
    <row r="240" spans="1:22">
      <c r="B240" s="93"/>
      <c r="C240" s="93" t="s">
        <v>77</v>
      </c>
      <c r="D240" s="50"/>
      <c r="E240" s="52"/>
      <c r="F240" s="92" t="s">
        <v>470</v>
      </c>
      <c r="G240" s="366"/>
      <c r="H240" s="366"/>
      <c r="I240" s="366"/>
      <c r="J240" s="55">
        <f t="shared" si="176"/>
        <v>0</v>
      </c>
      <c r="K240" s="369"/>
      <c r="L240" s="55">
        <f t="shared" si="177"/>
        <v>0</v>
      </c>
      <c r="M240" s="56" t="e">
        <f t="shared" si="175"/>
        <v>#DIV/0!</v>
      </c>
      <c r="N240" s="57" t="e">
        <f t="shared" si="178"/>
        <v>#DIV/0!</v>
      </c>
      <c r="O240" s="57" t="e">
        <f t="shared" si="179"/>
        <v>#DIV/0!</v>
      </c>
      <c r="P240" s="58" t="e">
        <f t="shared" si="180"/>
        <v>#DIV/0!</v>
      </c>
      <c r="Q240" s="367"/>
      <c r="R240" s="59" t="e">
        <f t="shared" si="181"/>
        <v>#DIV/0!</v>
      </c>
      <c r="S240" s="336"/>
      <c r="T240" s="96"/>
      <c r="U240" s="48"/>
      <c r="V240" s="61"/>
    </row>
    <row r="241" spans="1:22">
      <c r="B241" s="93"/>
      <c r="C241" s="93" t="s">
        <v>77</v>
      </c>
      <c r="D241" s="50"/>
      <c r="E241" s="52"/>
      <c r="F241" s="92" t="s">
        <v>72</v>
      </c>
      <c r="G241" s="366"/>
      <c r="H241" s="366"/>
      <c r="I241" s="366"/>
      <c r="J241" s="55">
        <f t="shared" si="176"/>
        <v>0</v>
      </c>
      <c r="K241" s="369"/>
      <c r="L241" s="55">
        <f t="shared" si="177"/>
        <v>0</v>
      </c>
      <c r="M241" s="56" t="e">
        <f t="shared" si="175"/>
        <v>#DIV/0!</v>
      </c>
      <c r="N241" s="57" t="e">
        <f t="shared" si="178"/>
        <v>#DIV/0!</v>
      </c>
      <c r="O241" s="57" t="e">
        <f t="shared" si="179"/>
        <v>#DIV/0!</v>
      </c>
      <c r="P241" s="58" t="e">
        <f t="shared" si="180"/>
        <v>#DIV/0!</v>
      </c>
      <c r="Q241" s="367"/>
      <c r="R241" s="59" t="e">
        <f t="shared" si="181"/>
        <v>#DIV/0!</v>
      </c>
      <c r="S241" s="336"/>
      <c r="T241" s="61"/>
      <c r="U241" s="48"/>
      <c r="V241" s="61"/>
    </row>
    <row r="242" spans="1:22">
      <c r="B242" s="93"/>
      <c r="C242" s="93" t="s">
        <v>77</v>
      </c>
      <c r="D242" s="50"/>
      <c r="E242" s="52"/>
      <c r="F242" s="92" t="s">
        <v>471</v>
      </c>
      <c r="G242" s="366"/>
      <c r="H242" s="366"/>
      <c r="I242" s="366"/>
      <c r="J242" s="55">
        <f t="shared" si="176"/>
        <v>0</v>
      </c>
      <c r="K242" s="369"/>
      <c r="L242" s="55">
        <f t="shared" si="177"/>
        <v>0</v>
      </c>
      <c r="M242" s="56" t="e">
        <f t="shared" si="175"/>
        <v>#DIV/0!</v>
      </c>
      <c r="N242" s="57" t="e">
        <f t="shared" si="178"/>
        <v>#DIV/0!</v>
      </c>
      <c r="O242" s="57" t="e">
        <f t="shared" si="179"/>
        <v>#DIV/0!</v>
      </c>
      <c r="P242" s="58" t="e">
        <f t="shared" si="180"/>
        <v>#DIV/0!</v>
      </c>
      <c r="Q242" s="367"/>
      <c r="R242" s="59" t="e">
        <f t="shared" si="181"/>
        <v>#DIV/0!</v>
      </c>
      <c r="S242" s="336"/>
      <c r="T242" s="96"/>
      <c r="U242" s="48"/>
      <c r="V242" s="61"/>
    </row>
    <row r="243" spans="1:22">
      <c r="B243" s="93"/>
      <c r="C243" s="93" t="s">
        <v>77</v>
      </c>
      <c r="D243" s="50"/>
      <c r="E243" s="52"/>
      <c r="F243" s="92" t="s">
        <v>146</v>
      </c>
      <c r="G243" s="366"/>
      <c r="H243" s="366"/>
      <c r="I243" s="366"/>
      <c r="J243" s="55">
        <f t="shared" si="176"/>
        <v>0</v>
      </c>
      <c r="K243" s="369"/>
      <c r="L243" s="55">
        <f t="shared" si="177"/>
        <v>0</v>
      </c>
      <c r="M243" s="56" t="e">
        <f t="shared" si="175"/>
        <v>#DIV/0!</v>
      </c>
      <c r="N243" s="57" t="e">
        <f t="shared" si="178"/>
        <v>#DIV/0!</v>
      </c>
      <c r="O243" s="57" t="e">
        <f t="shared" si="179"/>
        <v>#DIV/0!</v>
      </c>
      <c r="P243" s="58" t="e">
        <f t="shared" si="180"/>
        <v>#DIV/0!</v>
      </c>
      <c r="Q243" s="367"/>
      <c r="R243" s="59" t="e">
        <f t="shared" si="181"/>
        <v>#DIV/0!</v>
      </c>
      <c r="S243" s="129"/>
      <c r="T243" s="96"/>
      <c r="U243" s="48"/>
      <c r="V243" s="61"/>
    </row>
    <row r="244" spans="1:22">
      <c r="B244" s="93"/>
      <c r="C244" s="93" t="s">
        <v>77</v>
      </c>
      <c r="D244" s="50"/>
      <c r="E244" s="52"/>
      <c r="F244" s="92" t="s">
        <v>45</v>
      </c>
      <c r="G244" s="366"/>
      <c r="H244" s="366"/>
      <c r="I244" s="366"/>
      <c r="J244" s="55">
        <f t="shared" si="176"/>
        <v>0</v>
      </c>
      <c r="K244" s="369"/>
      <c r="L244" s="55">
        <f t="shared" si="177"/>
        <v>0</v>
      </c>
      <c r="M244" s="56" t="e">
        <f t="shared" si="175"/>
        <v>#DIV/0!</v>
      </c>
      <c r="N244" s="57" t="e">
        <f t="shared" si="178"/>
        <v>#DIV/0!</v>
      </c>
      <c r="O244" s="57" t="e">
        <f t="shared" si="179"/>
        <v>#DIV/0!</v>
      </c>
      <c r="P244" s="58" t="e">
        <f t="shared" si="180"/>
        <v>#DIV/0!</v>
      </c>
      <c r="Q244" s="367"/>
      <c r="R244" s="59" t="e">
        <f t="shared" si="181"/>
        <v>#DIV/0!</v>
      </c>
      <c r="S244" s="133"/>
      <c r="T244" s="61"/>
      <c r="U244" s="48"/>
      <c r="V244" s="61"/>
    </row>
    <row r="245" spans="1:22">
      <c r="B245" s="93"/>
      <c r="C245" s="93" t="s">
        <v>77</v>
      </c>
      <c r="D245" s="50"/>
      <c r="E245" s="52"/>
      <c r="F245" s="92" t="s">
        <v>46</v>
      </c>
      <c r="G245" s="366"/>
      <c r="H245" s="366"/>
      <c r="I245" s="366"/>
      <c r="J245" s="55">
        <f t="shared" si="176"/>
        <v>0</v>
      </c>
      <c r="K245" s="369"/>
      <c r="L245" s="55">
        <f t="shared" si="177"/>
        <v>0</v>
      </c>
      <c r="M245" s="56" t="e">
        <f t="shared" si="175"/>
        <v>#DIV/0!</v>
      </c>
      <c r="N245" s="57" t="e">
        <f t="shared" si="178"/>
        <v>#DIV/0!</v>
      </c>
      <c r="O245" s="57" t="e">
        <f t="shared" si="179"/>
        <v>#DIV/0!</v>
      </c>
      <c r="P245" s="58" t="e">
        <f t="shared" si="180"/>
        <v>#DIV/0!</v>
      </c>
      <c r="Q245" s="367"/>
      <c r="R245" s="59" t="e">
        <f t="shared" si="181"/>
        <v>#DIV/0!</v>
      </c>
      <c r="S245" s="133"/>
      <c r="T245" s="61"/>
      <c r="U245" s="29"/>
      <c r="V245" s="61"/>
    </row>
    <row r="246" spans="1:22">
      <c r="B246" s="93"/>
      <c r="C246" s="93" t="s">
        <v>77</v>
      </c>
      <c r="D246" s="50"/>
      <c r="E246" s="52"/>
      <c r="F246" s="92" t="s">
        <v>53</v>
      </c>
      <c r="G246" s="366"/>
      <c r="H246" s="366"/>
      <c r="I246" s="366"/>
      <c r="J246" s="55">
        <f t="shared" si="176"/>
        <v>0</v>
      </c>
      <c r="K246" s="369"/>
      <c r="L246" s="55">
        <f t="shared" si="177"/>
        <v>0</v>
      </c>
      <c r="M246" s="56" t="e">
        <f t="shared" si="175"/>
        <v>#DIV/0!</v>
      </c>
      <c r="N246" s="57" t="e">
        <f t="shared" si="178"/>
        <v>#DIV/0!</v>
      </c>
      <c r="O246" s="57" t="e">
        <f t="shared" si="179"/>
        <v>#DIV/0!</v>
      </c>
      <c r="P246" s="58" t="e">
        <f t="shared" si="180"/>
        <v>#DIV/0!</v>
      </c>
      <c r="Q246" s="367"/>
      <c r="R246" s="59" t="e">
        <f t="shared" si="181"/>
        <v>#DIV/0!</v>
      </c>
      <c r="S246" s="94"/>
      <c r="T246" s="61"/>
      <c r="U246" s="48"/>
      <c r="V246" s="61"/>
    </row>
    <row r="247" spans="1:22">
      <c r="B247" s="93"/>
      <c r="C247" s="93" t="s">
        <v>77</v>
      </c>
      <c r="D247" s="50"/>
      <c r="E247" s="52"/>
      <c r="F247" s="92" t="s">
        <v>472</v>
      </c>
      <c r="G247" s="366"/>
      <c r="H247" s="366"/>
      <c r="I247" s="366"/>
      <c r="J247" s="55">
        <f t="shared" si="176"/>
        <v>0</v>
      </c>
      <c r="K247" s="369"/>
      <c r="L247" s="55">
        <f t="shared" si="177"/>
        <v>0</v>
      </c>
      <c r="M247" s="56" t="e">
        <f t="shared" ref="M247" si="185">L247/K247</f>
        <v>#DIV/0!</v>
      </c>
      <c r="N247" s="57" t="e">
        <f t="shared" si="178"/>
        <v>#DIV/0!</v>
      </c>
      <c r="O247" s="57" t="e">
        <f t="shared" si="179"/>
        <v>#DIV/0!</v>
      </c>
      <c r="P247" s="58" t="e">
        <f t="shared" si="180"/>
        <v>#DIV/0!</v>
      </c>
      <c r="Q247" s="367"/>
      <c r="R247" s="59" t="e">
        <f t="shared" si="181"/>
        <v>#DIV/0!</v>
      </c>
      <c r="S247" s="94"/>
      <c r="T247" s="61"/>
      <c r="U247" s="48"/>
      <c r="V247" s="61"/>
    </row>
    <row r="248" spans="1:22">
      <c r="B248" s="93"/>
      <c r="C248" s="93" t="s">
        <v>77</v>
      </c>
      <c r="D248" s="50"/>
      <c r="E248" s="52"/>
      <c r="F248" s="92" t="s">
        <v>54</v>
      </c>
      <c r="G248" s="366"/>
      <c r="H248" s="366"/>
      <c r="I248" s="366"/>
      <c r="J248" s="55">
        <f t="shared" si="176"/>
        <v>0</v>
      </c>
      <c r="K248" s="369"/>
      <c r="L248" s="55">
        <f t="shared" si="177"/>
        <v>0</v>
      </c>
      <c r="M248" s="56" t="e">
        <f t="shared" si="175"/>
        <v>#DIV/0!</v>
      </c>
      <c r="N248" s="57" t="e">
        <f t="shared" si="178"/>
        <v>#DIV/0!</v>
      </c>
      <c r="O248" s="57" t="e">
        <f t="shared" si="179"/>
        <v>#DIV/0!</v>
      </c>
      <c r="P248" s="58" t="e">
        <f t="shared" si="180"/>
        <v>#DIV/0!</v>
      </c>
      <c r="Q248" s="367"/>
      <c r="R248" s="59" t="e">
        <f t="shared" si="181"/>
        <v>#DIV/0!</v>
      </c>
      <c r="S248" s="133"/>
      <c r="T248" s="61"/>
      <c r="U248" s="48"/>
      <c r="V248" s="61"/>
    </row>
    <row r="249" spans="1:22">
      <c r="B249" s="93"/>
      <c r="C249" s="93" t="s">
        <v>77</v>
      </c>
      <c r="D249" s="50"/>
      <c r="E249" s="52"/>
      <c r="F249" s="92" t="s">
        <v>47</v>
      </c>
      <c r="G249" s="366"/>
      <c r="H249" s="366"/>
      <c r="I249" s="366"/>
      <c r="J249" s="55">
        <f t="shared" si="176"/>
        <v>0</v>
      </c>
      <c r="K249" s="369"/>
      <c r="L249" s="55">
        <f t="shared" si="177"/>
        <v>0</v>
      </c>
      <c r="M249" s="56" t="e">
        <f t="shared" si="175"/>
        <v>#DIV/0!</v>
      </c>
      <c r="N249" s="57" t="e">
        <f t="shared" si="178"/>
        <v>#DIV/0!</v>
      </c>
      <c r="O249" s="57" t="e">
        <f t="shared" si="179"/>
        <v>#DIV/0!</v>
      </c>
      <c r="P249" s="58" t="e">
        <f t="shared" si="180"/>
        <v>#DIV/0!</v>
      </c>
      <c r="Q249" s="367"/>
      <c r="R249" s="59" t="e">
        <f t="shared" si="181"/>
        <v>#DIV/0!</v>
      </c>
      <c r="S249" s="133"/>
      <c r="T249" s="61"/>
      <c r="U249" s="48"/>
      <c r="V249" s="61"/>
    </row>
    <row r="250" spans="1:22">
      <c r="A250" s="10">
        <v>1</v>
      </c>
      <c r="B250" s="93"/>
      <c r="C250" s="93" t="s">
        <v>77</v>
      </c>
      <c r="D250" s="50"/>
      <c r="E250" s="52"/>
      <c r="F250" s="92" t="s">
        <v>48</v>
      </c>
      <c r="G250" s="366"/>
      <c r="H250" s="366"/>
      <c r="I250" s="366"/>
      <c r="J250" s="55">
        <f t="shared" si="176"/>
        <v>0</v>
      </c>
      <c r="K250" s="369"/>
      <c r="L250" s="55">
        <f t="shared" si="177"/>
        <v>0</v>
      </c>
      <c r="M250" s="56" t="e">
        <f t="shared" si="175"/>
        <v>#DIV/0!</v>
      </c>
      <c r="N250" s="57" t="e">
        <f t="shared" si="178"/>
        <v>#DIV/0!</v>
      </c>
      <c r="O250" s="57" t="e">
        <f t="shared" si="179"/>
        <v>#DIV/0!</v>
      </c>
      <c r="P250" s="58" t="e">
        <f t="shared" si="180"/>
        <v>#DIV/0!</v>
      </c>
      <c r="Q250" s="367"/>
      <c r="R250" s="59" t="e">
        <f t="shared" si="181"/>
        <v>#DIV/0!</v>
      </c>
      <c r="S250" s="94"/>
      <c r="T250" s="61"/>
      <c r="U250" s="48"/>
      <c r="V250" s="61"/>
    </row>
    <row r="251" spans="1:22">
      <c r="A251" s="10">
        <v>1</v>
      </c>
      <c r="B251" s="93"/>
      <c r="C251" s="93" t="s">
        <v>77</v>
      </c>
      <c r="D251" s="50"/>
      <c r="E251" s="52"/>
      <c r="F251" s="92" t="s">
        <v>473</v>
      </c>
      <c r="G251" s="366"/>
      <c r="H251" s="366"/>
      <c r="I251" s="366"/>
      <c r="J251" s="55">
        <f t="shared" si="176"/>
        <v>0</v>
      </c>
      <c r="K251" s="369"/>
      <c r="L251" s="55">
        <f t="shared" si="177"/>
        <v>0</v>
      </c>
      <c r="M251" s="56" t="e">
        <f t="shared" si="175"/>
        <v>#DIV/0!</v>
      </c>
      <c r="N251" s="57" t="e">
        <f t="shared" si="178"/>
        <v>#DIV/0!</v>
      </c>
      <c r="O251" s="57" t="e">
        <f t="shared" si="179"/>
        <v>#DIV/0!</v>
      </c>
      <c r="P251" s="58" t="e">
        <f t="shared" si="180"/>
        <v>#DIV/0!</v>
      </c>
      <c r="Q251" s="367"/>
      <c r="R251" s="59" t="e">
        <f t="shared" si="181"/>
        <v>#DIV/0!</v>
      </c>
      <c r="S251" s="94"/>
      <c r="T251" s="61"/>
      <c r="U251" s="48"/>
      <c r="V251" s="61"/>
    </row>
    <row r="252" spans="1:22">
      <c r="A252" s="10">
        <v>1</v>
      </c>
      <c r="B252" s="93"/>
      <c r="C252" s="93" t="s">
        <v>77</v>
      </c>
      <c r="D252" s="50"/>
      <c r="E252" s="52"/>
      <c r="F252" s="92" t="s">
        <v>52</v>
      </c>
      <c r="G252" s="366"/>
      <c r="H252" s="366"/>
      <c r="I252" s="366"/>
      <c r="J252" s="55">
        <f t="shared" si="176"/>
        <v>0</v>
      </c>
      <c r="K252" s="369"/>
      <c r="L252" s="55">
        <f t="shared" si="177"/>
        <v>0</v>
      </c>
      <c r="M252" s="56" t="e">
        <f t="shared" si="175"/>
        <v>#DIV/0!</v>
      </c>
      <c r="N252" s="57" t="e">
        <f t="shared" si="178"/>
        <v>#DIV/0!</v>
      </c>
      <c r="O252" s="57" t="e">
        <f t="shared" si="179"/>
        <v>#DIV/0!</v>
      </c>
      <c r="P252" s="58" t="e">
        <f t="shared" si="180"/>
        <v>#DIV/0!</v>
      </c>
      <c r="Q252" s="367"/>
      <c r="R252" s="59" t="e">
        <f t="shared" si="181"/>
        <v>#DIV/0!</v>
      </c>
      <c r="S252" s="94"/>
      <c r="T252" s="61"/>
      <c r="U252" s="48"/>
      <c r="V252" s="61"/>
    </row>
    <row r="253" spans="1:22">
      <c r="A253" s="10">
        <v>1</v>
      </c>
      <c r="B253" s="93"/>
      <c r="C253" s="93" t="s">
        <v>77</v>
      </c>
      <c r="D253" s="50"/>
      <c r="E253" s="52"/>
      <c r="F253" s="92" t="s">
        <v>49</v>
      </c>
      <c r="G253" s="366"/>
      <c r="H253" s="366"/>
      <c r="I253" s="366"/>
      <c r="J253" s="55">
        <f t="shared" si="176"/>
        <v>0</v>
      </c>
      <c r="K253" s="369"/>
      <c r="L253" s="55">
        <f t="shared" si="177"/>
        <v>0</v>
      </c>
      <c r="M253" s="56" t="e">
        <f t="shared" si="175"/>
        <v>#DIV/0!</v>
      </c>
      <c r="N253" s="57" t="e">
        <f t="shared" si="178"/>
        <v>#DIV/0!</v>
      </c>
      <c r="O253" s="57" t="e">
        <f t="shared" si="179"/>
        <v>#DIV/0!</v>
      </c>
      <c r="P253" s="58" t="e">
        <f t="shared" ref="P253" si="186">IF(ABS(O253)&gt;100%,"O","X")</f>
        <v>#DIV/0!</v>
      </c>
      <c r="Q253" s="367"/>
      <c r="R253" s="59" t="e">
        <f t="shared" ref="R253" si="187">IF(P253="O","O",IF(Q253="O","O","X"))</f>
        <v>#DIV/0!</v>
      </c>
      <c r="S253" s="94"/>
      <c r="T253" s="61"/>
      <c r="U253" s="48"/>
      <c r="V253" s="61"/>
    </row>
    <row r="254" spans="1:22">
      <c r="B254" s="93"/>
      <c r="C254" s="93" t="s">
        <v>77</v>
      </c>
      <c r="D254" s="50"/>
      <c r="E254" s="52"/>
      <c r="F254" s="92" t="s">
        <v>50</v>
      </c>
      <c r="G254" s="366"/>
      <c r="H254" s="366"/>
      <c r="I254" s="366"/>
      <c r="J254" s="55">
        <f t="shared" si="176"/>
        <v>0</v>
      </c>
      <c r="K254" s="369"/>
      <c r="L254" s="55">
        <f t="shared" si="177"/>
        <v>0</v>
      </c>
      <c r="M254" s="56" t="e">
        <f t="shared" si="175"/>
        <v>#DIV/0!</v>
      </c>
      <c r="N254" s="57" t="e">
        <f t="shared" si="178"/>
        <v>#DIV/0!</v>
      </c>
      <c r="O254" s="57" t="e">
        <f t="shared" si="179"/>
        <v>#DIV/0!</v>
      </c>
      <c r="P254" s="58" t="e">
        <f t="shared" si="180"/>
        <v>#DIV/0!</v>
      </c>
      <c r="Q254" s="367"/>
      <c r="R254" s="59" t="e">
        <f t="shared" si="181"/>
        <v>#DIV/0!</v>
      </c>
      <c r="S254" s="94"/>
      <c r="T254" s="61"/>
      <c r="U254" s="48"/>
      <c r="V254" s="61"/>
    </row>
    <row r="255" spans="1:22">
      <c r="A255" s="10">
        <v>1</v>
      </c>
      <c r="B255" s="93"/>
      <c r="C255" s="93" t="s">
        <v>77</v>
      </c>
      <c r="D255" s="50"/>
      <c r="E255" s="52"/>
      <c r="F255" s="92" t="s">
        <v>36</v>
      </c>
      <c r="G255" s="358"/>
      <c r="H255" s="366"/>
      <c r="I255" s="366"/>
      <c r="J255" s="55">
        <f t="shared" si="176"/>
        <v>0</v>
      </c>
      <c r="K255" s="369"/>
      <c r="L255" s="55">
        <f t="shared" si="177"/>
        <v>0</v>
      </c>
      <c r="M255" s="56" t="e">
        <f t="shared" si="175"/>
        <v>#DIV/0!</v>
      </c>
      <c r="N255" s="57" t="e">
        <f t="shared" si="178"/>
        <v>#DIV/0!</v>
      </c>
      <c r="O255" s="57" t="e">
        <f t="shared" si="179"/>
        <v>#DIV/0!</v>
      </c>
      <c r="P255" s="58" t="e">
        <f t="shared" si="180"/>
        <v>#DIV/0!</v>
      </c>
      <c r="Q255" s="367"/>
      <c r="R255" s="59" t="e">
        <f t="shared" si="181"/>
        <v>#DIV/0!</v>
      </c>
      <c r="S255" s="94"/>
      <c r="T255" s="61"/>
      <c r="U255" s="48"/>
      <c r="V255" s="61"/>
    </row>
    <row r="256" spans="1:22">
      <c r="B256" s="93"/>
      <c r="C256" s="93" t="s">
        <v>77</v>
      </c>
      <c r="D256" s="50"/>
      <c r="E256" s="52"/>
      <c r="F256" s="92" t="s">
        <v>474</v>
      </c>
      <c r="G256" s="366"/>
      <c r="H256" s="366"/>
      <c r="I256" s="366"/>
      <c r="J256" s="55">
        <f t="shared" si="176"/>
        <v>0</v>
      </c>
      <c r="K256" s="369"/>
      <c r="L256" s="55">
        <f t="shared" si="177"/>
        <v>0</v>
      </c>
      <c r="M256" s="56" t="e">
        <f t="shared" si="175"/>
        <v>#DIV/0!</v>
      </c>
      <c r="N256" s="57" t="e">
        <f t="shared" si="178"/>
        <v>#DIV/0!</v>
      </c>
      <c r="O256" s="57" t="e">
        <f t="shared" si="179"/>
        <v>#DIV/0!</v>
      </c>
      <c r="P256" s="58" t="e">
        <f t="shared" si="180"/>
        <v>#DIV/0!</v>
      </c>
      <c r="Q256" s="367"/>
      <c r="R256" s="59" t="e">
        <f t="shared" si="181"/>
        <v>#DIV/0!</v>
      </c>
      <c r="S256" s="94"/>
      <c r="T256" s="61"/>
      <c r="U256" s="48"/>
      <c r="V256" s="61"/>
    </row>
    <row r="257" spans="1:22">
      <c r="B257" s="93"/>
      <c r="C257" s="93" t="s">
        <v>77</v>
      </c>
      <c r="D257" s="50"/>
      <c r="E257" s="52"/>
      <c r="F257" s="92" t="s">
        <v>475</v>
      </c>
      <c r="G257" s="358"/>
      <c r="H257" s="366"/>
      <c r="I257" s="366"/>
      <c r="J257" s="55"/>
      <c r="K257" s="358"/>
      <c r="L257" s="55">
        <f t="shared" si="177"/>
        <v>0</v>
      </c>
      <c r="M257" s="56" t="e">
        <f t="shared" si="175"/>
        <v>#DIV/0!</v>
      </c>
      <c r="N257" s="57" t="e">
        <f t="shared" si="178"/>
        <v>#DIV/0!</v>
      </c>
      <c r="O257" s="57" t="e">
        <f t="shared" si="179"/>
        <v>#DIV/0!</v>
      </c>
      <c r="P257" s="58" t="e">
        <f t="shared" si="180"/>
        <v>#DIV/0!</v>
      </c>
      <c r="Q257" s="367"/>
      <c r="R257" s="59" t="e">
        <f t="shared" si="181"/>
        <v>#DIV/0!</v>
      </c>
      <c r="S257" s="94"/>
      <c r="T257" s="61"/>
      <c r="U257" s="48"/>
      <c r="V257" s="61"/>
    </row>
    <row r="258" spans="1:22">
      <c r="B258" s="93"/>
      <c r="C258" s="93" t="s">
        <v>77</v>
      </c>
      <c r="D258" s="50"/>
      <c r="E258" s="52"/>
      <c r="F258" s="92" t="s">
        <v>148</v>
      </c>
      <c r="G258" s="358"/>
      <c r="H258" s="366"/>
      <c r="I258" s="366"/>
      <c r="J258" s="55"/>
      <c r="K258" s="370"/>
      <c r="L258" s="55">
        <f t="shared" si="177"/>
        <v>0</v>
      </c>
      <c r="M258" s="56" t="e">
        <f t="shared" si="175"/>
        <v>#DIV/0!</v>
      </c>
      <c r="N258" s="57" t="e">
        <f t="shared" si="178"/>
        <v>#DIV/0!</v>
      </c>
      <c r="O258" s="57" t="e">
        <f t="shared" si="179"/>
        <v>#DIV/0!</v>
      </c>
      <c r="P258" s="58" t="e">
        <f t="shared" si="180"/>
        <v>#DIV/0!</v>
      </c>
      <c r="Q258" s="367"/>
      <c r="R258" s="59" t="e">
        <f t="shared" si="181"/>
        <v>#DIV/0!</v>
      </c>
      <c r="S258" s="94"/>
      <c r="T258" s="61"/>
      <c r="U258" s="48"/>
      <c r="V258" s="61"/>
    </row>
    <row r="259" spans="1:22">
      <c r="A259" s="10">
        <v>1</v>
      </c>
      <c r="B259" s="332"/>
      <c r="C259" s="332"/>
      <c r="D259" s="44" t="s">
        <v>27</v>
      </c>
      <c r="E259" s="45"/>
      <c r="F259" s="45"/>
      <c r="G259" s="332">
        <f>G225-G229</f>
        <v>0</v>
      </c>
      <c r="H259" s="332"/>
      <c r="I259" s="332"/>
      <c r="J259" s="332">
        <f>J225-J229</f>
        <v>0</v>
      </c>
      <c r="K259" s="332">
        <f>K225-K229</f>
        <v>0</v>
      </c>
      <c r="L259" s="332">
        <f>J259-K259</f>
        <v>0</v>
      </c>
      <c r="M259" s="333" t="e">
        <f t="shared" si="175"/>
        <v>#DIV/0!</v>
      </c>
      <c r="N259" s="47"/>
      <c r="O259" s="47"/>
      <c r="P259" s="47"/>
      <c r="Q259" s="47"/>
      <c r="R259" s="47"/>
      <c r="S259" s="94"/>
      <c r="T259" s="122"/>
      <c r="U259" s="48"/>
      <c r="V259" s="61"/>
    </row>
    <row r="260" spans="1:22">
      <c r="A260" s="10">
        <v>1</v>
      </c>
      <c r="B260" s="103"/>
      <c r="C260" s="103"/>
      <c r="D260" s="50"/>
      <c r="E260" s="113" t="s">
        <v>28</v>
      </c>
      <c r="F260" s="113"/>
      <c r="G260" s="103" t="e">
        <f>G259/G207</f>
        <v>#DIV/0!</v>
      </c>
      <c r="H260" s="103"/>
      <c r="I260" s="103"/>
      <c r="J260" s="103" t="e">
        <f>J259/J207</f>
        <v>#DIV/0!</v>
      </c>
      <c r="K260" s="103" t="e">
        <f>K259/K207</f>
        <v>#DIV/0!</v>
      </c>
      <c r="L260" s="103" t="e">
        <f>J260-K260</f>
        <v>#DIV/0!</v>
      </c>
      <c r="M260" s="56"/>
      <c r="N260" s="56"/>
      <c r="O260" s="56"/>
      <c r="P260" s="56"/>
      <c r="Q260" s="56"/>
      <c r="R260" s="56"/>
      <c r="S260" s="94"/>
      <c r="T260" s="61"/>
      <c r="U260" s="112"/>
      <c r="V260" s="61"/>
    </row>
    <row r="261" spans="1:22">
      <c r="A261" s="10">
        <v>1</v>
      </c>
      <c r="B261" s="103"/>
      <c r="C261" s="103"/>
      <c r="D261" s="50"/>
      <c r="E261" s="113" t="s">
        <v>93</v>
      </c>
      <c r="F261" s="113"/>
      <c r="G261" s="103" t="e">
        <f>G229/G207</f>
        <v>#DIV/0!</v>
      </c>
      <c r="H261" s="103"/>
      <c r="I261" s="103"/>
      <c r="J261" s="103" t="e">
        <f>J229/J207</f>
        <v>#DIV/0!</v>
      </c>
      <c r="K261" s="103" t="e">
        <f>K229/K207</f>
        <v>#DIV/0!</v>
      </c>
      <c r="L261" s="103" t="e">
        <f>J261-K261</f>
        <v>#DIV/0!</v>
      </c>
      <c r="M261" s="56"/>
      <c r="N261" s="56"/>
      <c r="O261" s="56"/>
      <c r="P261" s="56"/>
      <c r="Q261" s="56"/>
      <c r="R261" s="56"/>
      <c r="S261" s="94"/>
      <c r="T261" s="61"/>
      <c r="U261" s="48"/>
      <c r="V261" s="49"/>
    </row>
    <row r="262" spans="1:22">
      <c r="A262" s="10">
        <v>1</v>
      </c>
      <c r="B262" s="332"/>
      <c r="C262" s="332"/>
      <c r="D262" s="44" t="s">
        <v>115</v>
      </c>
      <c r="E262" s="45"/>
      <c r="F262" s="45"/>
      <c r="G262" s="332">
        <f>SUM(G263:G275)</f>
        <v>0</v>
      </c>
      <c r="H262" s="332"/>
      <c r="I262" s="332"/>
      <c r="J262" s="332">
        <f>SUM(J263:J275)</f>
        <v>0</v>
      </c>
      <c r="K262" s="332">
        <f>SUM(K263:K275)</f>
        <v>0</v>
      </c>
      <c r="L262" s="332">
        <f>SUM(L263:L275)</f>
        <v>0</v>
      </c>
      <c r="M262" s="333" t="e">
        <f t="shared" ref="M262:M315" si="188">L262/K262</f>
        <v>#DIV/0!</v>
      </c>
      <c r="N262" s="47"/>
      <c r="O262" s="47"/>
      <c r="P262" s="47"/>
      <c r="Q262" s="47"/>
      <c r="R262" s="47"/>
      <c r="S262" s="94"/>
      <c r="T262" s="61"/>
      <c r="U262" s="48"/>
      <c r="V262" s="49"/>
    </row>
    <row r="263" spans="1:22">
      <c r="A263" s="10">
        <v>1</v>
      </c>
      <c r="B263" s="93"/>
      <c r="C263" s="93" t="s">
        <v>78</v>
      </c>
      <c r="D263" s="50"/>
      <c r="E263" s="52"/>
      <c r="F263" s="92" t="s">
        <v>55</v>
      </c>
      <c r="G263" s="366"/>
      <c r="H263" s="366"/>
      <c r="I263" s="366"/>
      <c r="J263" s="93">
        <f t="shared" ref="J263:J275" si="189">G263-H263+I263</f>
        <v>0</v>
      </c>
      <c r="K263" s="369"/>
      <c r="L263" s="55">
        <f t="shared" ref="L263:L275" si="190">J263-K263</f>
        <v>0</v>
      </c>
      <c r="M263" s="56" t="e">
        <f t="shared" si="188"/>
        <v>#DIV/0!</v>
      </c>
      <c r="N263" s="57" t="e">
        <f t="shared" ref="N263:N275" si="191">G263/$N$12</f>
        <v>#DIV/0!</v>
      </c>
      <c r="O263" s="57" t="e">
        <f t="shared" ref="O263:O275" si="192">G263*12/CurMonths/$O$12</f>
        <v>#DIV/0!</v>
      </c>
      <c r="P263" s="58" t="e">
        <f t="shared" ref="P263:P275" si="193">IF(ABS(O263)&gt;100%,"O","X")</f>
        <v>#DIV/0!</v>
      </c>
      <c r="Q263" s="367"/>
      <c r="R263" s="59" t="e">
        <f t="shared" ref="R263:R275" si="194">IF(P263="O","O",IF(Q263="O","O","X"))</f>
        <v>#DIV/0!</v>
      </c>
      <c r="S263" s="94"/>
      <c r="T263" s="61"/>
      <c r="U263" s="48"/>
      <c r="V263" s="49"/>
    </row>
    <row r="264" spans="1:22">
      <c r="A264" s="10">
        <v>1</v>
      </c>
      <c r="B264" s="93"/>
      <c r="C264" s="93" t="s">
        <v>78</v>
      </c>
      <c r="D264" s="50"/>
      <c r="E264" s="52"/>
      <c r="F264" s="92" t="s">
        <v>37</v>
      </c>
      <c r="G264" s="366"/>
      <c r="H264" s="366"/>
      <c r="I264" s="366"/>
      <c r="J264" s="93">
        <f t="shared" si="189"/>
        <v>0</v>
      </c>
      <c r="K264" s="369"/>
      <c r="L264" s="55">
        <f t="shared" si="190"/>
        <v>0</v>
      </c>
      <c r="M264" s="56" t="e">
        <f t="shared" si="188"/>
        <v>#DIV/0!</v>
      </c>
      <c r="N264" s="57" t="e">
        <f t="shared" si="191"/>
        <v>#DIV/0!</v>
      </c>
      <c r="O264" s="57" t="e">
        <f t="shared" si="192"/>
        <v>#DIV/0!</v>
      </c>
      <c r="P264" s="58" t="e">
        <f t="shared" si="193"/>
        <v>#DIV/0!</v>
      </c>
      <c r="Q264" s="367"/>
      <c r="R264" s="59" t="e">
        <f t="shared" si="194"/>
        <v>#DIV/0!</v>
      </c>
      <c r="S264" s="94"/>
      <c r="T264" s="61"/>
      <c r="U264" s="48"/>
      <c r="V264" s="49"/>
    </row>
    <row r="265" spans="1:22">
      <c r="B265" s="93"/>
      <c r="C265" s="93" t="s">
        <v>78</v>
      </c>
      <c r="D265" s="50"/>
      <c r="E265" s="52"/>
      <c r="F265" s="92" t="s">
        <v>29</v>
      </c>
      <c r="G265" s="366"/>
      <c r="H265" s="366"/>
      <c r="I265" s="366"/>
      <c r="J265" s="93">
        <f t="shared" si="189"/>
        <v>0</v>
      </c>
      <c r="K265" s="369"/>
      <c r="L265" s="55">
        <f t="shared" si="190"/>
        <v>0</v>
      </c>
      <c r="M265" s="56" t="e">
        <f t="shared" ref="M265:M275" si="195">L265/K265</f>
        <v>#DIV/0!</v>
      </c>
      <c r="N265" s="57" t="e">
        <f t="shared" si="191"/>
        <v>#DIV/0!</v>
      </c>
      <c r="O265" s="57" t="e">
        <f t="shared" si="192"/>
        <v>#DIV/0!</v>
      </c>
      <c r="P265" s="58" t="e">
        <f t="shared" si="193"/>
        <v>#DIV/0!</v>
      </c>
      <c r="Q265" s="367"/>
      <c r="R265" s="59" t="e">
        <f t="shared" si="194"/>
        <v>#DIV/0!</v>
      </c>
      <c r="S265" s="94"/>
      <c r="T265" s="61"/>
      <c r="U265" s="48"/>
      <c r="V265" s="49"/>
    </row>
    <row r="266" spans="1:22">
      <c r="B266" s="93"/>
      <c r="C266" s="93" t="s">
        <v>78</v>
      </c>
      <c r="D266" s="50"/>
      <c r="E266" s="52"/>
      <c r="F266" s="92" t="s">
        <v>483</v>
      </c>
      <c r="G266" s="358"/>
      <c r="H266" s="366"/>
      <c r="I266" s="366"/>
      <c r="J266" s="93">
        <f t="shared" si="189"/>
        <v>0</v>
      </c>
      <c r="K266" s="369"/>
      <c r="L266" s="55">
        <f t="shared" si="190"/>
        <v>0</v>
      </c>
      <c r="M266" s="56" t="e">
        <f t="shared" si="195"/>
        <v>#DIV/0!</v>
      </c>
      <c r="N266" s="57" t="e">
        <f t="shared" si="191"/>
        <v>#DIV/0!</v>
      </c>
      <c r="O266" s="57" t="e">
        <f t="shared" si="192"/>
        <v>#DIV/0!</v>
      </c>
      <c r="P266" s="58" t="e">
        <f t="shared" si="193"/>
        <v>#DIV/0!</v>
      </c>
      <c r="Q266" s="367"/>
      <c r="R266" s="59" t="e">
        <f t="shared" si="194"/>
        <v>#DIV/0!</v>
      </c>
      <c r="S266" s="94"/>
      <c r="T266" s="61"/>
      <c r="U266" s="48"/>
      <c r="V266" s="49"/>
    </row>
    <row r="267" spans="1:22">
      <c r="B267" s="93"/>
      <c r="C267" s="93" t="s">
        <v>78</v>
      </c>
      <c r="D267" s="50"/>
      <c r="E267" s="52"/>
      <c r="F267" s="92" t="s">
        <v>108</v>
      </c>
      <c r="G267" s="366"/>
      <c r="H267" s="366"/>
      <c r="I267" s="366"/>
      <c r="J267" s="93">
        <f t="shared" si="189"/>
        <v>0</v>
      </c>
      <c r="K267" s="369"/>
      <c r="L267" s="55">
        <f t="shared" si="190"/>
        <v>0</v>
      </c>
      <c r="M267" s="56" t="e">
        <f t="shared" si="195"/>
        <v>#DIV/0!</v>
      </c>
      <c r="N267" s="57" t="e">
        <f t="shared" si="191"/>
        <v>#DIV/0!</v>
      </c>
      <c r="O267" s="57" t="e">
        <f t="shared" si="192"/>
        <v>#DIV/0!</v>
      </c>
      <c r="P267" s="58" t="e">
        <f t="shared" si="193"/>
        <v>#DIV/0!</v>
      </c>
      <c r="Q267" s="367"/>
      <c r="R267" s="59" t="e">
        <f t="shared" si="194"/>
        <v>#DIV/0!</v>
      </c>
      <c r="S267" s="94"/>
      <c r="T267" s="61"/>
      <c r="U267" s="48"/>
      <c r="V267" s="49"/>
    </row>
    <row r="268" spans="1:22">
      <c r="B268" s="93"/>
      <c r="C268" s="93" t="s">
        <v>78</v>
      </c>
      <c r="D268" s="50"/>
      <c r="E268" s="52"/>
      <c r="F268" s="92" t="s">
        <v>333</v>
      </c>
      <c r="G268" s="358"/>
      <c r="H268" s="366"/>
      <c r="I268" s="366"/>
      <c r="J268" s="93">
        <f t="shared" si="189"/>
        <v>0</v>
      </c>
      <c r="K268" s="369"/>
      <c r="L268" s="55">
        <f t="shared" si="190"/>
        <v>0</v>
      </c>
      <c r="M268" s="56" t="e">
        <f t="shared" si="195"/>
        <v>#DIV/0!</v>
      </c>
      <c r="N268" s="57" t="e">
        <f t="shared" si="191"/>
        <v>#DIV/0!</v>
      </c>
      <c r="O268" s="57" t="e">
        <f t="shared" si="192"/>
        <v>#DIV/0!</v>
      </c>
      <c r="P268" s="58" t="e">
        <f t="shared" si="193"/>
        <v>#DIV/0!</v>
      </c>
      <c r="Q268" s="367"/>
      <c r="R268" s="59" t="e">
        <f t="shared" si="194"/>
        <v>#DIV/0!</v>
      </c>
      <c r="S268" s="94"/>
      <c r="T268" s="61"/>
      <c r="U268" s="48"/>
      <c r="V268" s="49"/>
    </row>
    <row r="269" spans="1:22">
      <c r="B269" s="93"/>
      <c r="C269" s="93" t="s">
        <v>78</v>
      </c>
      <c r="D269" s="50"/>
      <c r="E269" s="52"/>
      <c r="F269" s="92" t="s">
        <v>259</v>
      </c>
      <c r="G269" s="358"/>
      <c r="H269" s="366"/>
      <c r="I269" s="366"/>
      <c r="J269" s="93">
        <f t="shared" si="189"/>
        <v>0</v>
      </c>
      <c r="K269" s="369"/>
      <c r="L269" s="55">
        <f t="shared" si="190"/>
        <v>0</v>
      </c>
      <c r="M269" s="56" t="e">
        <f t="shared" si="195"/>
        <v>#DIV/0!</v>
      </c>
      <c r="N269" s="57" t="e">
        <f t="shared" si="191"/>
        <v>#DIV/0!</v>
      </c>
      <c r="O269" s="57" t="e">
        <f t="shared" si="192"/>
        <v>#DIV/0!</v>
      </c>
      <c r="P269" s="58" t="e">
        <f t="shared" si="193"/>
        <v>#DIV/0!</v>
      </c>
      <c r="Q269" s="367"/>
      <c r="R269" s="59" t="e">
        <f t="shared" si="194"/>
        <v>#DIV/0!</v>
      </c>
      <c r="S269" s="94"/>
      <c r="T269" s="61"/>
      <c r="U269" s="48"/>
      <c r="V269" s="49"/>
    </row>
    <row r="270" spans="1:22">
      <c r="B270" s="93"/>
      <c r="C270" s="93" t="s">
        <v>78</v>
      </c>
      <c r="D270" s="50"/>
      <c r="E270" s="52"/>
      <c r="F270" s="92" t="s">
        <v>484</v>
      </c>
      <c r="G270" s="358"/>
      <c r="H270" s="366"/>
      <c r="I270" s="366"/>
      <c r="J270" s="93">
        <f t="shared" si="189"/>
        <v>0</v>
      </c>
      <c r="K270" s="369"/>
      <c r="L270" s="55">
        <f t="shared" si="190"/>
        <v>0</v>
      </c>
      <c r="M270" s="56" t="e">
        <f t="shared" si="195"/>
        <v>#DIV/0!</v>
      </c>
      <c r="N270" s="57" t="e">
        <f t="shared" si="191"/>
        <v>#DIV/0!</v>
      </c>
      <c r="O270" s="57" t="e">
        <f t="shared" si="192"/>
        <v>#DIV/0!</v>
      </c>
      <c r="P270" s="58" t="e">
        <f t="shared" si="193"/>
        <v>#DIV/0!</v>
      </c>
      <c r="Q270" s="367"/>
      <c r="R270" s="59" t="e">
        <f t="shared" si="194"/>
        <v>#DIV/0!</v>
      </c>
      <c r="S270" s="94"/>
      <c r="T270" s="61"/>
      <c r="U270" s="48"/>
      <c r="V270" s="49"/>
    </row>
    <row r="271" spans="1:22">
      <c r="B271" s="93"/>
      <c r="C271" s="93" t="s">
        <v>78</v>
      </c>
      <c r="D271" s="50"/>
      <c r="E271" s="52"/>
      <c r="F271" s="92" t="s">
        <v>485</v>
      </c>
      <c r="G271" s="358"/>
      <c r="H271" s="366"/>
      <c r="I271" s="366"/>
      <c r="J271" s="93">
        <f t="shared" si="189"/>
        <v>0</v>
      </c>
      <c r="K271" s="369"/>
      <c r="L271" s="55">
        <f t="shared" si="190"/>
        <v>0</v>
      </c>
      <c r="M271" s="56" t="e">
        <f t="shared" si="195"/>
        <v>#DIV/0!</v>
      </c>
      <c r="N271" s="57" t="e">
        <f t="shared" si="191"/>
        <v>#DIV/0!</v>
      </c>
      <c r="O271" s="57" t="e">
        <f t="shared" si="192"/>
        <v>#DIV/0!</v>
      </c>
      <c r="P271" s="58" t="e">
        <f t="shared" si="193"/>
        <v>#DIV/0!</v>
      </c>
      <c r="Q271" s="367"/>
      <c r="R271" s="59" t="e">
        <f t="shared" si="194"/>
        <v>#DIV/0!</v>
      </c>
      <c r="S271" s="94"/>
      <c r="T271" s="61"/>
      <c r="U271" s="48"/>
      <c r="V271" s="49"/>
    </row>
    <row r="272" spans="1:22">
      <c r="B272" s="93"/>
      <c r="C272" s="93" t="s">
        <v>78</v>
      </c>
      <c r="D272" s="50"/>
      <c r="E272" s="52"/>
      <c r="F272" s="92" t="s">
        <v>486</v>
      </c>
      <c r="G272" s="358"/>
      <c r="H272" s="366"/>
      <c r="I272" s="366"/>
      <c r="J272" s="93">
        <f t="shared" si="189"/>
        <v>0</v>
      </c>
      <c r="K272" s="369"/>
      <c r="L272" s="55">
        <f t="shared" si="190"/>
        <v>0</v>
      </c>
      <c r="M272" s="56" t="e">
        <f t="shared" si="195"/>
        <v>#DIV/0!</v>
      </c>
      <c r="N272" s="57" t="e">
        <f t="shared" si="191"/>
        <v>#DIV/0!</v>
      </c>
      <c r="O272" s="57" t="e">
        <f t="shared" si="192"/>
        <v>#DIV/0!</v>
      </c>
      <c r="P272" s="58" t="e">
        <f t="shared" si="193"/>
        <v>#DIV/0!</v>
      </c>
      <c r="Q272" s="367"/>
      <c r="R272" s="59" t="e">
        <f t="shared" si="194"/>
        <v>#DIV/0!</v>
      </c>
      <c r="S272" s="94"/>
      <c r="T272" s="61"/>
      <c r="U272" s="48"/>
      <c r="V272" s="49"/>
    </row>
    <row r="273" spans="1:22">
      <c r="B273" s="93"/>
      <c r="C273" s="93" t="s">
        <v>78</v>
      </c>
      <c r="D273" s="50"/>
      <c r="E273" s="52"/>
      <c r="F273" s="92" t="s">
        <v>487</v>
      </c>
      <c r="G273" s="358"/>
      <c r="H273" s="366"/>
      <c r="I273" s="366"/>
      <c r="J273" s="93">
        <f t="shared" si="189"/>
        <v>0</v>
      </c>
      <c r="K273" s="369"/>
      <c r="L273" s="55">
        <f t="shared" si="190"/>
        <v>0</v>
      </c>
      <c r="M273" s="56" t="e">
        <f t="shared" si="195"/>
        <v>#DIV/0!</v>
      </c>
      <c r="N273" s="57" t="e">
        <f t="shared" si="191"/>
        <v>#DIV/0!</v>
      </c>
      <c r="O273" s="57" t="e">
        <f t="shared" si="192"/>
        <v>#DIV/0!</v>
      </c>
      <c r="P273" s="58" t="e">
        <f t="shared" si="193"/>
        <v>#DIV/0!</v>
      </c>
      <c r="Q273" s="367"/>
      <c r="R273" s="59" t="e">
        <f t="shared" si="194"/>
        <v>#DIV/0!</v>
      </c>
      <c r="S273" s="94"/>
      <c r="T273" s="61"/>
      <c r="U273" s="48"/>
      <c r="V273" s="49"/>
    </row>
    <row r="274" spans="1:22">
      <c r="B274" s="93"/>
      <c r="C274" s="93" t="s">
        <v>78</v>
      </c>
      <c r="D274" s="50"/>
      <c r="E274" s="52"/>
      <c r="F274" s="92" t="s">
        <v>488</v>
      </c>
      <c r="G274" s="366"/>
      <c r="H274" s="366"/>
      <c r="I274" s="366"/>
      <c r="J274" s="93">
        <f t="shared" si="189"/>
        <v>0</v>
      </c>
      <c r="K274" s="369"/>
      <c r="L274" s="55">
        <f t="shared" si="190"/>
        <v>0</v>
      </c>
      <c r="M274" s="56" t="e">
        <f t="shared" si="195"/>
        <v>#DIV/0!</v>
      </c>
      <c r="N274" s="57" t="e">
        <f t="shared" si="191"/>
        <v>#DIV/0!</v>
      </c>
      <c r="O274" s="57" t="e">
        <f t="shared" si="192"/>
        <v>#DIV/0!</v>
      </c>
      <c r="P274" s="58" t="e">
        <f t="shared" si="193"/>
        <v>#DIV/0!</v>
      </c>
      <c r="Q274" s="367"/>
      <c r="R274" s="59" t="e">
        <f t="shared" si="194"/>
        <v>#DIV/0!</v>
      </c>
      <c r="S274" s="94"/>
      <c r="T274" s="61"/>
      <c r="U274" s="48"/>
      <c r="V274" s="49"/>
    </row>
    <row r="275" spans="1:22">
      <c r="B275" s="93"/>
      <c r="C275" s="93" t="s">
        <v>78</v>
      </c>
      <c r="D275" s="50"/>
      <c r="E275" s="52"/>
      <c r="F275" s="92" t="s">
        <v>489</v>
      </c>
      <c r="G275" s="366"/>
      <c r="H275" s="366"/>
      <c r="I275" s="366"/>
      <c r="J275" s="93">
        <f t="shared" si="189"/>
        <v>0</v>
      </c>
      <c r="K275" s="369"/>
      <c r="L275" s="55">
        <f t="shared" si="190"/>
        <v>0</v>
      </c>
      <c r="M275" s="56" t="e">
        <f t="shared" si="195"/>
        <v>#DIV/0!</v>
      </c>
      <c r="N275" s="57" t="e">
        <f t="shared" si="191"/>
        <v>#DIV/0!</v>
      </c>
      <c r="O275" s="57" t="e">
        <f t="shared" si="192"/>
        <v>#DIV/0!</v>
      </c>
      <c r="P275" s="58" t="e">
        <f t="shared" si="193"/>
        <v>#DIV/0!</v>
      </c>
      <c r="Q275" s="367"/>
      <c r="R275" s="59" t="e">
        <f t="shared" si="194"/>
        <v>#DIV/0!</v>
      </c>
      <c r="S275" s="94"/>
      <c r="T275" s="61"/>
      <c r="U275" s="48"/>
      <c r="V275" s="49"/>
    </row>
    <row r="276" spans="1:22">
      <c r="B276" s="332"/>
      <c r="C276" s="332"/>
      <c r="D276" s="44" t="s">
        <v>82</v>
      </c>
      <c r="E276" s="45"/>
      <c r="F276" s="71"/>
      <c r="G276" s="332">
        <f>SUM(G277:G286)</f>
        <v>0</v>
      </c>
      <c r="H276" s="332"/>
      <c r="I276" s="332"/>
      <c r="J276" s="332">
        <f>SUM(J277:J286)</f>
        <v>0</v>
      </c>
      <c r="K276" s="332">
        <f>SUM(K277:K286)</f>
        <v>0</v>
      </c>
      <c r="L276" s="332">
        <f>SUM(L277:L286)</f>
        <v>0</v>
      </c>
      <c r="M276" s="333" t="e">
        <f t="shared" si="188"/>
        <v>#DIV/0!</v>
      </c>
      <c r="N276" s="56"/>
      <c r="O276" s="56"/>
      <c r="P276" s="56"/>
      <c r="Q276" s="56"/>
      <c r="R276" s="56"/>
      <c r="S276" s="94"/>
      <c r="T276" s="29"/>
      <c r="U276" s="48"/>
      <c r="V276" s="49"/>
    </row>
    <row r="277" spans="1:22">
      <c r="B277" s="93"/>
      <c r="C277" s="93" t="s">
        <v>82</v>
      </c>
      <c r="D277" s="50"/>
      <c r="E277" s="52"/>
      <c r="F277" s="52" t="s">
        <v>476</v>
      </c>
      <c r="G277" s="366"/>
      <c r="H277" s="366"/>
      <c r="I277" s="366"/>
      <c r="J277" s="93">
        <f t="shared" ref="J277:J286" si="196">G277-H277+I277</f>
        <v>0</v>
      </c>
      <c r="K277" s="369"/>
      <c r="L277" s="55">
        <f t="shared" ref="L277:L286" si="197">J277-K277</f>
        <v>0</v>
      </c>
      <c r="M277" s="56" t="e">
        <f t="shared" si="188"/>
        <v>#DIV/0!</v>
      </c>
      <c r="N277" s="57" t="e">
        <f t="shared" ref="N277:N286" si="198">G277/$N$12</f>
        <v>#DIV/0!</v>
      </c>
      <c r="O277" s="57" t="e">
        <f t="shared" ref="O277:O286" si="199">G277*12/CurMonths/$O$12</f>
        <v>#DIV/0!</v>
      </c>
      <c r="P277" s="58" t="e">
        <f t="shared" ref="P277:P286" si="200">IF(ABS(O277)&gt;100%,"O","X")</f>
        <v>#DIV/0!</v>
      </c>
      <c r="Q277" s="367"/>
      <c r="R277" s="59" t="e">
        <f t="shared" ref="R277:R286" si="201">IF(P277="O","O",IF(Q277="O","O","X"))</f>
        <v>#DIV/0!</v>
      </c>
      <c r="S277" s="94"/>
      <c r="T277" s="49"/>
      <c r="U277" s="48"/>
      <c r="V277" s="49"/>
    </row>
    <row r="278" spans="1:22">
      <c r="A278" s="10">
        <v>1</v>
      </c>
      <c r="B278" s="93"/>
      <c r="C278" s="93" t="s">
        <v>79</v>
      </c>
      <c r="D278" s="50"/>
      <c r="E278" s="52"/>
      <c r="F278" s="92" t="s">
        <v>477</v>
      </c>
      <c r="G278" s="366"/>
      <c r="H278" s="366"/>
      <c r="I278" s="366"/>
      <c r="J278" s="93">
        <f t="shared" si="196"/>
        <v>0</v>
      </c>
      <c r="K278" s="369"/>
      <c r="L278" s="55">
        <f t="shared" si="197"/>
        <v>0</v>
      </c>
      <c r="M278" s="56" t="e">
        <f t="shared" si="188"/>
        <v>#DIV/0!</v>
      </c>
      <c r="N278" s="57" t="e">
        <f t="shared" si="198"/>
        <v>#DIV/0!</v>
      </c>
      <c r="O278" s="57" t="e">
        <f t="shared" si="199"/>
        <v>#DIV/0!</v>
      </c>
      <c r="P278" s="58" t="e">
        <f t="shared" si="200"/>
        <v>#DIV/0!</v>
      </c>
      <c r="Q278" s="367"/>
      <c r="R278" s="59" t="e">
        <f t="shared" si="201"/>
        <v>#DIV/0!</v>
      </c>
      <c r="S278" s="94"/>
      <c r="T278" s="61"/>
      <c r="U278" s="48"/>
      <c r="V278" s="49"/>
    </row>
    <row r="279" spans="1:22">
      <c r="B279" s="93"/>
      <c r="C279" s="93" t="s">
        <v>79</v>
      </c>
      <c r="D279" s="50"/>
      <c r="E279" s="52"/>
      <c r="F279" s="92" t="s">
        <v>6</v>
      </c>
      <c r="G279" s="366"/>
      <c r="H279" s="366"/>
      <c r="I279" s="366"/>
      <c r="J279" s="93">
        <f t="shared" si="196"/>
        <v>0</v>
      </c>
      <c r="K279" s="369"/>
      <c r="L279" s="55">
        <f t="shared" si="197"/>
        <v>0</v>
      </c>
      <c r="M279" s="56" t="e">
        <f t="shared" si="188"/>
        <v>#DIV/0!</v>
      </c>
      <c r="N279" s="57" t="e">
        <f t="shared" si="198"/>
        <v>#DIV/0!</v>
      </c>
      <c r="O279" s="57" t="e">
        <f t="shared" si="199"/>
        <v>#DIV/0!</v>
      </c>
      <c r="P279" s="58" t="e">
        <f t="shared" si="200"/>
        <v>#DIV/0!</v>
      </c>
      <c r="Q279" s="367"/>
      <c r="R279" s="59" t="e">
        <f t="shared" si="201"/>
        <v>#DIV/0!</v>
      </c>
      <c r="S279" s="94"/>
      <c r="T279" s="61"/>
      <c r="U279" s="48"/>
      <c r="V279" s="49"/>
    </row>
    <row r="280" spans="1:22">
      <c r="B280" s="93"/>
      <c r="C280" s="93" t="s">
        <v>79</v>
      </c>
      <c r="D280" s="50"/>
      <c r="E280" s="52"/>
      <c r="F280" s="92" t="s">
        <v>73</v>
      </c>
      <c r="G280" s="366"/>
      <c r="H280" s="366"/>
      <c r="I280" s="366"/>
      <c r="J280" s="93">
        <f t="shared" si="196"/>
        <v>0</v>
      </c>
      <c r="K280" s="369"/>
      <c r="L280" s="55">
        <f t="shared" si="197"/>
        <v>0</v>
      </c>
      <c r="M280" s="56" t="e">
        <f t="shared" ref="M280:M286" si="202">L280/K280</f>
        <v>#DIV/0!</v>
      </c>
      <c r="N280" s="57" t="e">
        <f t="shared" si="198"/>
        <v>#DIV/0!</v>
      </c>
      <c r="O280" s="57" t="e">
        <f t="shared" si="199"/>
        <v>#DIV/0!</v>
      </c>
      <c r="P280" s="58" t="e">
        <f t="shared" si="200"/>
        <v>#DIV/0!</v>
      </c>
      <c r="Q280" s="367"/>
      <c r="R280" s="59" t="e">
        <f t="shared" si="201"/>
        <v>#DIV/0!</v>
      </c>
      <c r="S280" s="94"/>
      <c r="T280" s="61"/>
      <c r="U280" s="48"/>
      <c r="V280" s="49"/>
    </row>
    <row r="281" spans="1:22">
      <c r="B281" s="93"/>
      <c r="C281" s="93" t="s">
        <v>79</v>
      </c>
      <c r="D281" s="50"/>
      <c r="E281" s="52"/>
      <c r="F281" s="92" t="s">
        <v>349</v>
      </c>
      <c r="G281" s="358"/>
      <c r="H281" s="366"/>
      <c r="I281" s="366"/>
      <c r="J281" s="93">
        <f t="shared" si="196"/>
        <v>0</v>
      </c>
      <c r="K281" s="369"/>
      <c r="L281" s="55">
        <f t="shared" si="197"/>
        <v>0</v>
      </c>
      <c r="M281" s="56" t="e">
        <f t="shared" si="202"/>
        <v>#DIV/0!</v>
      </c>
      <c r="N281" s="57" t="e">
        <f t="shared" si="198"/>
        <v>#DIV/0!</v>
      </c>
      <c r="O281" s="57" t="e">
        <f t="shared" si="199"/>
        <v>#DIV/0!</v>
      </c>
      <c r="P281" s="58" t="e">
        <f t="shared" si="200"/>
        <v>#DIV/0!</v>
      </c>
      <c r="Q281" s="367"/>
      <c r="R281" s="59" t="e">
        <f t="shared" si="201"/>
        <v>#DIV/0!</v>
      </c>
      <c r="S281" s="94"/>
      <c r="T281" s="61"/>
      <c r="U281" s="48"/>
      <c r="V281" s="49"/>
    </row>
    <row r="282" spans="1:22">
      <c r="B282" s="93"/>
      <c r="C282" s="93" t="s">
        <v>79</v>
      </c>
      <c r="D282" s="50"/>
      <c r="E282" s="52"/>
      <c r="F282" s="92" t="s">
        <v>37</v>
      </c>
      <c r="G282" s="366"/>
      <c r="H282" s="366"/>
      <c r="I282" s="366"/>
      <c r="J282" s="93">
        <f t="shared" si="196"/>
        <v>0</v>
      </c>
      <c r="K282" s="369"/>
      <c r="L282" s="55">
        <f t="shared" si="197"/>
        <v>0</v>
      </c>
      <c r="M282" s="56" t="e">
        <f t="shared" si="202"/>
        <v>#DIV/0!</v>
      </c>
      <c r="N282" s="57" t="e">
        <f t="shared" si="198"/>
        <v>#DIV/0!</v>
      </c>
      <c r="O282" s="57" t="e">
        <f t="shared" si="199"/>
        <v>#DIV/0!</v>
      </c>
      <c r="P282" s="58" t="e">
        <f t="shared" si="200"/>
        <v>#DIV/0!</v>
      </c>
      <c r="Q282" s="367"/>
      <c r="R282" s="59" t="e">
        <f t="shared" si="201"/>
        <v>#DIV/0!</v>
      </c>
      <c r="S282" s="94"/>
      <c r="T282" s="61"/>
      <c r="U282" s="48"/>
      <c r="V282" s="49"/>
    </row>
    <row r="283" spans="1:22">
      <c r="B283" s="93"/>
      <c r="C283" s="93" t="s">
        <v>79</v>
      </c>
      <c r="D283" s="50"/>
      <c r="E283" s="52"/>
      <c r="F283" s="92" t="s">
        <v>29</v>
      </c>
      <c r="G283" s="366"/>
      <c r="H283" s="366"/>
      <c r="I283" s="366"/>
      <c r="J283" s="93">
        <f t="shared" si="196"/>
        <v>0</v>
      </c>
      <c r="K283" s="369"/>
      <c r="L283" s="55">
        <f t="shared" si="197"/>
        <v>0</v>
      </c>
      <c r="M283" s="56" t="e">
        <f t="shared" si="202"/>
        <v>#DIV/0!</v>
      </c>
      <c r="N283" s="57" t="e">
        <f t="shared" si="198"/>
        <v>#DIV/0!</v>
      </c>
      <c r="O283" s="57" t="e">
        <f t="shared" si="199"/>
        <v>#DIV/0!</v>
      </c>
      <c r="P283" s="58" t="e">
        <f t="shared" si="200"/>
        <v>#DIV/0!</v>
      </c>
      <c r="Q283" s="367"/>
      <c r="R283" s="59" t="e">
        <f t="shared" si="201"/>
        <v>#DIV/0!</v>
      </c>
      <c r="S283" s="94"/>
      <c r="T283" s="61"/>
      <c r="U283" s="48"/>
      <c r="V283" s="49"/>
    </row>
    <row r="284" spans="1:22">
      <c r="B284" s="93"/>
      <c r="C284" s="93" t="s">
        <v>585</v>
      </c>
      <c r="D284" s="50"/>
      <c r="E284" s="52"/>
      <c r="F284" s="92" t="s">
        <v>238</v>
      </c>
      <c r="G284" s="366"/>
      <c r="H284" s="366"/>
      <c r="I284" s="93">
        <f>왜곡표시!J10</f>
        <v>0</v>
      </c>
      <c r="J284" s="93">
        <f t="shared" si="196"/>
        <v>0</v>
      </c>
      <c r="K284" s="369"/>
      <c r="L284" s="55">
        <f t="shared" si="197"/>
        <v>0</v>
      </c>
      <c r="M284" s="56" t="e">
        <f t="shared" si="202"/>
        <v>#DIV/0!</v>
      </c>
      <c r="N284" s="57" t="e">
        <f t="shared" si="198"/>
        <v>#DIV/0!</v>
      </c>
      <c r="O284" s="57" t="e">
        <f t="shared" si="199"/>
        <v>#DIV/0!</v>
      </c>
      <c r="P284" s="58" t="e">
        <f t="shared" si="200"/>
        <v>#DIV/0!</v>
      </c>
      <c r="Q284" s="367"/>
      <c r="R284" s="59" t="e">
        <f t="shared" si="201"/>
        <v>#DIV/0!</v>
      </c>
      <c r="S284" s="94"/>
      <c r="T284" s="61"/>
      <c r="U284" s="48"/>
      <c r="V284" s="49"/>
    </row>
    <row r="285" spans="1:22">
      <c r="B285" s="93"/>
      <c r="C285" s="93" t="s">
        <v>79</v>
      </c>
      <c r="D285" s="50"/>
      <c r="E285" s="52"/>
      <c r="F285" s="92" t="s">
        <v>478</v>
      </c>
      <c r="G285" s="358"/>
      <c r="H285" s="366"/>
      <c r="I285" s="366"/>
      <c r="J285" s="93">
        <f t="shared" si="196"/>
        <v>0</v>
      </c>
      <c r="K285" s="369"/>
      <c r="L285" s="55">
        <f t="shared" si="197"/>
        <v>0</v>
      </c>
      <c r="M285" s="56" t="e">
        <f t="shared" si="202"/>
        <v>#DIV/0!</v>
      </c>
      <c r="N285" s="57" t="e">
        <f t="shared" si="198"/>
        <v>#DIV/0!</v>
      </c>
      <c r="O285" s="57" t="e">
        <f t="shared" si="199"/>
        <v>#DIV/0!</v>
      </c>
      <c r="P285" s="58" t="e">
        <f t="shared" si="200"/>
        <v>#DIV/0!</v>
      </c>
      <c r="Q285" s="367"/>
      <c r="R285" s="59" t="e">
        <f t="shared" si="201"/>
        <v>#DIV/0!</v>
      </c>
      <c r="S285" s="94"/>
      <c r="T285" s="61"/>
      <c r="U285" s="48"/>
      <c r="V285" s="49"/>
    </row>
    <row r="286" spans="1:22">
      <c r="B286" s="93"/>
      <c r="C286" s="93" t="s">
        <v>79</v>
      </c>
      <c r="D286" s="50"/>
      <c r="E286" s="52"/>
      <c r="F286" s="92" t="s">
        <v>479</v>
      </c>
      <c r="G286" s="366"/>
      <c r="H286" s="366"/>
      <c r="I286" s="366"/>
      <c r="J286" s="93">
        <f t="shared" si="196"/>
        <v>0</v>
      </c>
      <c r="K286" s="369"/>
      <c r="L286" s="55">
        <f t="shared" si="197"/>
        <v>0</v>
      </c>
      <c r="M286" s="56" t="e">
        <f t="shared" si="202"/>
        <v>#DIV/0!</v>
      </c>
      <c r="N286" s="57" t="e">
        <f t="shared" si="198"/>
        <v>#DIV/0!</v>
      </c>
      <c r="O286" s="57" t="e">
        <f t="shared" si="199"/>
        <v>#DIV/0!</v>
      </c>
      <c r="P286" s="58" t="e">
        <f t="shared" si="200"/>
        <v>#DIV/0!</v>
      </c>
      <c r="Q286" s="367"/>
      <c r="R286" s="59" t="e">
        <f t="shared" si="201"/>
        <v>#DIV/0!</v>
      </c>
      <c r="S286" s="94"/>
      <c r="T286" s="61"/>
      <c r="U286" s="48"/>
      <c r="V286" s="49"/>
    </row>
    <row r="287" spans="1:22">
      <c r="B287" s="332"/>
      <c r="C287" s="332"/>
      <c r="D287" s="44" t="s">
        <v>117</v>
      </c>
      <c r="E287" s="45"/>
      <c r="F287" s="45"/>
      <c r="G287" s="332">
        <f>SUM(G288:G300)</f>
        <v>0</v>
      </c>
      <c r="H287" s="332"/>
      <c r="I287" s="332"/>
      <c r="J287" s="332">
        <f>SUM(J288:J300)</f>
        <v>0</v>
      </c>
      <c r="K287" s="332">
        <f>SUM(K288:K300)</f>
        <v>0</v>
      </c>
      <c r="L287" s="332">
        <f>SUM(L288:L300)</f>
        <v>0</v>
      </c>
      <c r="M287" s="333" t="e">
        <f t="shared" si="188"/>
        <v>#DIV/0!</v>
      </c>
      <c r="N287" s="47"/>
      <c r="O287" s="47"/>
      <c r="P287" s="47"/>
      <c r="Q287" s="47"/>
      <c r="R287" s="47"/>
      <c r="S287" s="340"/>
      <c r="T287" s="62"/>
      <c r="U287" s="48"/>
      <c r="V287" s="49"/>
    </row>
    <row r="288" spans="1:22">
      <c r="A288" s="10">
        <v>1</v>
      </c>
      <c r="B288" s="93"/>
      <c r="C288" s="93" t="s">
        <v>80</v>
      </c>
      <c r="D288" s="50"/>
      <c r="E288" s="52"/>
      <c r="F288" s="92" t="s">
        <v>7</v>
      </c>
      <c r="G288" s="366"/>
      <c r="H288" s="366"/>
      <c r="I288" s="366"/>
      <c r="J288" s="55">
        <f t="shared" ref="J288:J300" si="203">G288+H288-I288</f>
        <v>0</v>
      </c>
      <c r="K288" s="369"/>
      <c r="L288" s="55">
        <f t="shared" ref="L288:L300" si="204">J288-K288</f>
        <v>0</v>
      </c>
      <c r="M288" s="56" t="e">
        <f t="shared" si="188"/>
        <v>#DIV/0!</v>
      </c>
      <c r="N288" s="57" t="e">
        <f t="shared" ref="N288:N300" si="205">G288/$N$12</f>
        <v>#DIV/0!</v>
      </c>
      <c r="O288" s="57" t="e">
        <f t="shared" ref="O288:O300" si="206">G288*12/CurMonths/$O$12</f>
        <v>#DIV/0!</v>
      </c>
      <c r="P288" s="58" t="e">
        <f t="shared" ref="P288:P300" si="207">IF(ABS(O288)&gt;100%,"O","X")</f>
        <v>#DIV/0!</v>
      </c>
      <c r="Q288" s="367"/>
      <c r="R288" s="59" t="e">
        <f t="shared" ref="R288:R300" si="208">IF(P288="O","O",IF(Q288="O","O","X"))</f>
        <v>#DIV/0!</v>
      </c>
      <c r="S288" s="94"/>
      <c r="T288" s="62"/>
      <c r="U288" s="48"/>
      <c r="V288" s="49"/>
    </row>
    <row r="289" spans="1:22">
      <c r="B289" s="93"/>
      <c r="C289" s="93" t="s">
        <v>80</v>
      </c>
      <c r="D289" s="50"/>
      <c r="E289" s="52"/>
      <c r="F289" s="92" t="s">
        <v>30</v>
      </c>
      <c r="G289" s="366"/>
      <c r="H289" s="366"/>
      <c r="I289" s="366"/>
      <c r="J289" s="55">
        <f t="shared" si="203"/>
        <v>0</v>
      </c>
      <c r="K289" s="369"/>
      <c r="L289" s="55">
        <f t="shared" si="204"/>
        <v>0</v>
      </c>
      <c r="M289" s="56" t="e">
        <f t="shared" ref="M289:M300" si="209">L289/K289</f>
        <v>#DIV/0!</v>
      </c>
      <c r="N289" s="57" t="e">
        <f t="shared" si="205"/>
        <v>#DIV/0!</v>
      </c>
      <c r="O289" s="57" t="e">
        <f t="shared" si="206"/>
        <v>#DIV/0!</v>
      </c>
      <c r="P289" s="58" t="e">
        <f t="shared" si="207"/>
        <v>#DIV/0!</v>
      </c>
      <c r="Q289" s="367"/>
      <c r="R289" s="59" t="e">
        <f t="shared" si="208"/>
        <v>#DIV/0!</v>
      </c>
      <c r="S289" s="343"/>
      <c r="T289" s="62"/>
      <c r="U289" s="48"/>
      <c r="V289" s="49"/>
    </row>
    <row r="290" spans="1:22">
      <c r="B290" s="93"/>
      <c r="C290" s="93" t="s">
        <v>80</v>
      </c>
      <c r="D290" s="50"/>
      <c r="E290" s="52"/>
      <c r="F290" s="92" t="s">
        <v>31</v>
      </c>
      <c r="G290" s="366"/>
      <c r="H290" s="366"/>
      <c r="I290" s="366"/>
      <c r="J290" s="55">
        <f t="shared" si="203"/>
        <v>0</v>
      </c>
      <c r="K290" s="369"/>
      <c r="L290" s="55">
        <f t="shared" si="204"/>
        <v>0</v>
      </c>
      <c r="M290" s="56" t="e">
        <f t="shared" si="209"/>
        <v>#DIV/0!</v>
      </c>
      <c r="N290" s="57" t="e">
        <f t="shared" si="205"/>
        <v>#DIV/0!</v>
      </c>
      <c r="O290" s="57" t="e">
        <f t="shared" si="206"/>
        <v>#DIV/0!</v>
      </c>
      <c r="P290" s="58" t="e">
        <f t="shared" si="207"/>
        <v>#DIV/0!</v>
      </c>
      <c r="Q290" s="367"/>
      <c r="R290" s="59" t="e">
        <f t="shared" si="208"/>
        <v>#DIV/0!</v>
      </c>
      <c r="S290" s="343"/>
      <c r="T290" s="62"/>
      <c r="U290" s="48"/>
      <c r="V290" s="49"/>
    </row>
    <row r="291" spans="1:22">
      <c r="B291" s="93"/>
      <c r="C291" s="93" t="s">
        <v>80</v>
      </c>
      <c r="D291" s="50"/>
      <c r="E291" s="52"/>
      <c r="F291" s="92" t="s">
        <v>490</v>
      </c>
      <c r="G291" s="358"/>
      <c r="H291" s="366"/>
      <c r="I291" s="366"/>
      <c r="J291" s="55">
        <f t="shared" si="203"/>
        <v>0</v>
      </c>
      <c r="K291" s="369"/>
      <c r="L291" s="55">
        <f t="shared" si="204"/>
        <v>0</v>
      </c>
      <c r="M291" s="56" t="e">
        <f t="shared" si="209"/>
        <v>#DIV/0!</v>
      </c>
      <c r="N291" s="57" t="e">
        <f t="shared" si="205"/>
        <v>#DIV/0!</v>
      </c>
      <c r="O291" s="57" t="e">
        <f t="shared" si="206"/>
        <v>#DIV/0!</v>
      </c>
      <c r="P291" s="58" t="e">
        <f t="shared" si="207"/>
        <v>#DIV/0!</v>
      </c>
      <c r="Q291" s="367"/>
      <c r="R291" s="59" t="e">
        <f t="shared" si="208"/>
        <v>#DIV/0!</v>
      </c>
      <c r="S291" s="343"/>
      <c r="T291" s="62"/>
      <c r="U291" s="48"/>
      <c r="V291" s="49"/>
    </row>
    <row r="292" spans="1:22">
      <c r="B292" s="93"/>
      <c r="C292" s="93" t="s">
        <v>80</v>
      </c>
      <c r="D292" s="50"/>
      <c r="E292" s="52"/>
      <c r="F292" s="92" t="s">
        <v>491</v>
      </c>
      <c r="G292" s="358"/>
      <c r="H292" s="366"/>
      <c r="I292" s="366"/>
      <c r="J292" s="55">
        <f t="shared" si="203"/>
        <v>0</v>
      </c>
      <c r="K292" s="369"/>
      <c r="L292" s="55">
        <f t="shared" si="204"/>
        <v>0</v>
      </c>
      <c r="M292" s="56" t="e">
        <f t="shared" si="209"/>
        <v>#DIV/0!</v>
      </c>
      <c r="N292" s="57" t="e">
        <f t="shared" si="205"/>
        <v>#DIV/0!</v>
      </c>
      <c r="O292" s="57" t="e">
        <f t="shared" si="206"/>
        <v>#DIV/0!</v>
      </c>
      <c r="P292" s="58" t="e">
        <f t="shared" si="207"/>
        <v>#DIV/0!</v>
      </c>
      <c r="Q292" s="367"/>
      <c r="R292" s="59" t="e">
        <f t="shared" si="208"/>
        <v>#DIV/0!</v>
      </c>
      <c r="S292" s="343"/>
      <c r="T292" s="62"/>
      <c r="U292" s="48"/>
      <c r="V292" s="49"/>
    </row>
    <row r="293" spans="1:22">
      <c r="B293" s="93"/>
      <c r="C293" s="93" t="s">
        <v>80</v>
      </c>
      <c r="D293" s="50"/>
      <c r="E293" s="52"/>
      <c r="F293" s="92" t="s">
        <v>492</v>
      </c>
      <c r="G293" s="366"/>
      <c r="H293" s="366"/>
      <c r="I293" s="366"/>
      <c r="J293" s="55">
        <f t="shared" si="203"/>
        <v>0</v>
      </c>
      <c r="K293" s="369"/>
      <c r="L293" s="55">
        <f t="shared" si="204"/>
        <v>0</v>
      </c>
      <c r="M293" s="56" t="e">
        <f t="shared" si="209"/>
        <v>#DIV/0!</v>
      </c>
      <c r="N293" s="57" t="e">
        <f t="shared" si="205"/>
        <v>#DIV/0!</v>
      </c>
      <c r="O293" s="57" t="e">
        <f t="shared" si="206"/>
        <v>#DIV/0!</v>
      </c>
      <c r="P293" s="58" t="e">
        <f t="shared" si="207"/>
        <v>#DIV/0!</v>
      </c>
      <c r="Q293" s="367"/>
      <c r="R293" s="59" t="e">
        <f t="shared" si="208"/>
        <v>#DIV/0!</v>
      </c>
      <c r="S293" s="343"/>
      <c r="T293" s="62"/>
      <c r="U293" s="48"/>
      <c r="V293" s="49"/>
    </row>
    <row r="294" spans="1:22">
      <c r="B294" s="93"/>
      <c r="C294" s="93" t="s">
        <v>80</v>
      </c>
      <c r="D294" s="50"/>
      <c r="E294" s="52"/>
      <c r="F294" s="92" t="s">
        <v>149</v>
      </c>
      <c r="G294" s="358"/>
      <c r="H294" s="366"/>
      <c r="I294" s="366"/>
      <c r="J294" s="55">
        <f t="shared" si="203"/>
        <v>0</v>
      </c>
      <c r="K294" s="369"/>
      <c r="L294" s="55">
        <f t="shared" si="204"/>
        <v>0</v>
      </c>
      <c r="M294" s="56" t="e">
        <f t="shared" si="209"/>
        <v>#DIV/0!</v>
      </c>
      <c r="N294" s="57" t="e">
        <f t="shared" si="205"/>
        <v>#DIV/0!</v>
      </c>
      <c r="O294" s="57" t="e">
        <f t="shared" si="206"/>
        <v>#DIV/0!</v>
      </c>
      <c r="P294" s="58" t="e">
        <f t="shared" si="207"/>
        <v>#DIV/0!</v>
      </c>
      <c r="Q294" s="367"/>
      <c r="R294" s="59" t="e">
        <f t="shared" si="208"/>
        <v>#DIV/0!</v>
      </c>
      <c r="S294" s="343"/>
      <c r="T294" s="62"/>
      <c r="U294" s="48"/>
      <c r="V294" s="49"/>
    </row>
    <row r="295" spans="1:22">
      <c r="B295" s="93"/>
      <c r="C295" s="93" t="s">
        <v>80</v>
      </c>
      <c r="D295" s="50"/>
      <c r="E295" s="52"/>
      <c r="F295" s="92" t="s">
        <v>150</v>
      </c>
      <c r="G295" s="358"/>
      <c r="H295" s="366"/>
      <c r="I295" s="366"/>
      <c r="J295" s="55">
        <f t="shared" si="203"/>
        <v>0</v>
      </c>
      <c r="K295" s="369"/>
      <c r="L295" s="55">
        <f t="shared" si="204"/>
        <v>0</v>
      </c>
      <c r="M295" s="56" t="e">
        <f t="shared" si="209"/>
        <v>#DIV/0!</v>
      </c>
      <c r="N295" s="57" t="e">
        <f t="shared" si="205"/>
        <v>#DIV/0!</v>
      </c>
      <c r="O295" s="57" t="e">
        <f t="shared" si="206"/>
        <v>#DIV/0!</v>
      </c>
      <c r="P295" s="58" t="e">
        <f t="shared" si="207"/>
        <v>#DIV/0!</v>
      </c>
      <c r="Q295" s="367"/>
      <c r="R295" s="59" t="e">
        <f t="shared" si="208"/>
        <v>#DIV/0!</v>
      </c>
      <c r="S295" s="343"/>
      <c r="T295" s="62"/>
      <c r="U295" s="48"/>
      <c r="V295" s="49"/>
    </row>
    <row r="296" spans="1:22">
      <c r="B296" s="93"/>
      <c r="C296" s="93" t="s">
        <v>80</v>
      </c>
      <c r="D296" s="50"/>
      <c r="E296" s="52"/>
      <c r="F296" s="92" t="s">
        <v>493</v>
      </c>
      <c r="G296" s="366"/>
      <c r="H296" s="366"/>
      <c r="I296" s="366"/>
      <c r="J296" s="55">
        <f t="shared" si="203"/>
        <v>0</v>
      </c>
      <c r="K296" s="369"/>
      <c r="L296" s="55">
        <f t="shared" si="204"/>
        <v>0</v>
      </c>
      <c r="M296" s="56" t="e">
        <f t="shared" si="209"/>
        <v>#DIV/0!</v>
      </c>
      <c r="N296" s="57" t="e">
        <f t="shared" si="205"/>
        <v>#DIV/0!</v>
      </c>
      <c r="O296" s="57" t="e">
        <f t="shared" si="206"/>
        <v>#DIV/0!</v>
      </c>
      <c r="P296" s="58" t="e">
        <f t="shared" si="207"/>
        <v>#DIV/0!</v>
      </c>
      <c r="Q296" s="367"/>
      <c r="R296" s="59" t="e">
        <f t="shared" si="208"/>
        <v>#DIV/0!</v>
      </c>
      <c r="S296" s="343"/>
      <c r="T296" s="62"/>
      <c r="U296" s="48"/>
      <c r="V296" s="49"/>
    </row>
    <row r="297" spans="1:22">
      <c r="B297" s="93"/>
      <c r="C297" s="93" t="s">
        <v>80</v>
      </c>
      <c r="D297" s="50"/>
      <c r="E297" s="52"/>
      <c r="F297" s="92" t="s">
        <v>494</v>
      </c>
      <c r="G297" s="358"/>
      <c r="H297" s="366"/>
      <c r="I297" s="366"/>
      <c r="J297" s="55">
        <f t="shared" si="203"/>
        <v>0</v>
      </c>
      <c r="K297" s="369"/>
      <c r="L297" s="55">
        <f t="shared" si="204"/>
        <v>0</v>
      </c>
      <c r="M297" s="56" t="e">
        <f t="shared" si="209"/>
        <v>#DIV/0!</v>
      </c>
      <c r="N297" s="57" t="e">
        <f t="shared" si="205"/>
        <v>#DIV/0!</v>
      </c>
      <c r="O297" s="57" t="e">
        <f t="shared" si="206"/>
        <v>#DIV/0!</v>
      </c>
      <c r="P297" s="58" t="e">
        <f t="shared" si="207"/>
        <v>#DIV/0!</v>
      </c>
      <c r="Q297" s="367"/>
      <c r="R297" s="59" t="e">
        <f t="shared" si="208"/>
        <v>#DIV/0!</v>
      </c>
      <c r="S297" s="343"/>
      <c r="T297" s="62"/>
      <c r="U297" s="48"/>
      <c r="V297" s="49"/>
    </row>
    <row r="298" spans="1:22">
      <c r="B298" s="93"/>
      <c r="C298" s="93" t="s">
        <v>80</v>
      </c>
      <c r="D298" s="50"/>
      <c r="E298" s="52"/>
      <c r="F298" s="92" t="s">
        <v>495</v>
      </c>
      <c r="G298" s="366"/>
      <c r="H298" s="366"/>
      <c r="I298" s="366"/>
      <c r="J298" s="55">
        <f t="shared" si="203"/>
        <v>0</v>
      </c>
      <c r="K298" s="369"/>
      <c r="L298" s="55">
        <f t="shared" si="204"/>
        <v>0</v>
      </c>
      <c r="M298" s="56" t="e">
        <f t="shared" si="209"/>
        <v>#DIV/0!</v>
      </c>
      <c r="N298" s="57" t="e">
        <f t="shared" si="205"/>
        <v>#DIV/0!</v>
      </c>
      <c r="O298" s="57" t="e">
        <f t="shared" si="206"/>
        <v>#DIV/0!</v>
      </c>
      <c r="P298" s="58" t="e">
        <f t="shared" si="207"/>
        <v>#DIV/0!</v>
      </c>
      <c r="Q298" s="367"/>
      <c r="R298" s="59" t="e">
        <f t="shared" si="208"/>
        <v>#DIV/0!</v>
      </c>
      <c r="S298" s="343"/>
      <c r="T298" s="62"/>
      <c r="U298" s="48"/>
      <c r="V298" s="49"/>
    </row>
    <row r="299" spans="1:22">
      <c r="B299" s="93"/>
      <c r="C299" s="93" t="s">
        <v>80</v>
      </c>
      <c r="D299" s="50"/>
      <c r="E299" s="52"/>
      <c r="F299" s="92" t="s">
        <v>496</v>
      </c>
      <c r="G299" s="366"/>
      <c r="H299" s="366"/>
      <c r="I299" s="366"/>
      <c r="J299" s="55">
        <f t="shared" si="203"/>
        <v>0</v>
      </c>
      <c r="K299" s="369"/>
      <c r="L299" s="55">
        <f t="shared" si="204"/>
        <v>0</v>
      </c>
      <c r="M299" s="56" t="e">
        <f t="shared" si="209"/>
        <v>#DIV/0!</v>
      </c>
      <c r="N299" s="57" t="e">
        <f t="shared" si="205"/>
        <v>#DIV/0!</v>
      </c>
      <c r="O299" s="57" t="e">
        <f t="shared" si="206"/>
        <v>#DIV/0!</v>
      </c>
      <c r="P299" s="58" t="e">
        <f t="shared" si="207"/>
        <v>#DIV/0!</v>
      </c>
      <c r="Q299" s="367"/>
      <c r="R299" s="59" t="e">
        <f t="shared" si="208"/>
        <v>#DIV/0!</v>
      </c>
      <c r="S299" s="343"/>
      <c r="T299" s="62"/>
      <c r="U299" s="48"/>
      <c r="V299" s="49"/>
    </row>
    <row r="300" spans="1:22">
      <c r="B300" s="93"/>
      <c r="C300" s="93" t="s">
        <v>80</v>
      </c>
      <c r="D300" s="50"/>
      <c r="E300" s="52"/>
      <c r="F300" s="92" t="s">
        <v>497</v>
      </c>
      <c r="G300" s="358"/>
      <c r="H300" s="366"/>
      <c r="I300" s="366"/>
      <c r="J300" s="55">
        <f t="shared" si="203"/>
        <v>0</v>
      </c>
      <c r="K300" s="369"/>
      <c r="L300" s="55">
        <f t="shared" si="204"/>
        <v>0</v>
      </c>
      <c r="M300" s="56" t="e">
        <f t="shared" si="209"/>
        <v>#DIV/0!</v>
      </c>
      <c r="N300" s="57" t="e">
        <f t="shared" si="205"/>
        <v>#DIV/0!</v>
      </c>
      <c r="O300" s="57" t="e">
        <f t="shared" si="206"/>
        <v>#DIV/0!</v>
      </c>
      <c r="P300" s="58" t="e">
        <f t="shared" si="207"/>
        <v>#DIV/0!</v>
      </c>
      <c r="Q300" s="367"/>
      <c r="R300" s="59" t="e">
        <f t="shared" si="208"/>
        <v>#DIV/0!</v>
      </c>
      <c r="S300" s="343"/>
      <c r="T300" s="62"/>
      <c r="U300" s="48"/>
      <c r="V300" s="49"/>
    </row>
    <row r="301" spans="1:22">
      <c r="A301" s="10">
        <v>1</v>
      </c>
      <c r="B301" s="332"/>
      <c r="C301" s="332"/>
      <c r="D301" s="44" t="s">
        <v>116</v>
      </c>
      <c r="E301" s="52"/>
      <c r="F301" s="92"/>
      <c r="G301" s="332">
        <f>SUM(G302:G314)</f>
        <v>0</v>
      </c>
      <c r="H301" s="332"/>
      <c r="I301" s="332"/>
      <c r="J301" s="332">
        <f>SUM(J302:J314)</f>
        <v>0</v>
      </c>
      <c r="K301" s="332">
        <f>SUM(K302:K314)</f>
        <v>0</v>
      </c>
      <c r="L301" s="332">
        <f>SUM(L302:L314)</f>
        <v>0</v>
      </c>
      <c r="M301" s="333" t="e">
        <f t="shared" si="188"/>
        <v>#DIV/0!</v>
      </c>
      <c r="N301" s="56"/>
      <c r="O301" s="56"/>
      <c r="P301" s="56"/>
      <c r="Q301" s="56"/>
      <c r="R301" s="56"/>
      <c r="S301" s="340"/>
      <c r="T301" s="62"/>
      <c r="U301" s="48"/>
      <c r="V301" s="49"/>
    </row>
    <row r="302" spans="1:22">
      <c r="B302" s="93"/>
      <c r="C302" s="93" t="s">
        <v>81</v>
      </c>
      <c r="D302" s="50"/>
      <c r="E302" s="52"/>
      <c r="F302" s="92" t="s">
        <v>152</v>
      </c>
      <c r="G302" s="358"/>
      <c r="H302" s="366"/>
      <c r="I302" s="366"/>
      <c r="J302" s="55">
        <f t="shared" ref="J302:J314" si="210">G302+H302-I302</f>
        <v>0</v>
      </c>
      <c r="K302" s="369"/>
      <c r="L302" s="55">
        <f t="shared" ref="L302:L313" si="211">J302-K302</f>
        <v>0</v>
      </c>
      <c r="M302" s="56" t="e">
        <f t="shared" ref="M302:M313" si="212">L302/K302</f>
        <v>#DIV/0!</v>
      </c>
      <c r="N302" s="57" t="e">
        <f t="shared" ref="N302:N314" si="213">G302/$N$12</f>
        <v>#DIV/0!</v>
      </c>
      <c r="O302" s="57" t="e">
        <f t="shared" ref="O302:O314" si="214">G302*12/CurMonths/$O$12</f>
        <v>#DIV/0!</v>
      </c>
      <c r="P302" s="58" t="e">
        <f t="shared" ref="P302:P313" si="215">IF(ABS(O302)&gt;100%,"O","X")</f>
        <v>#DIV/0!</v>
      </c>
      <c r="Q302" s="367"/>
      <c r="R302" s="59" t="e">
        <f t="shared" ref="R302:R313" si="216">IF(P302="O","O",IF(Q302="O","O","X"))</f>
        <v>#DIV/0!</v>
      </c>
      <c r="S302" s="94"/>
      <c r="T302" s="61"/>
      <c r="U302" s="48"/>
      <c r="V302" s="49"/>
    </row>
    <row r="303" spans="1:22">
      <c r="A303" s="10">
        <v>1</v>
      </c>
      <c r="B303" s="93"/>
      <c r="C303" s="93" t="s">
        <v>81</v>
      </c>
      <c r="D303" s="50"/>
      <c r="E303" s="52"/>
      <c r="F303" s="92" t="s">
        <v>153</v>
      </c>
      <c r="G303" s="358"/>
      <c r="H303" s="366"/>
      <c r="I303" s="366"/>
      <c r="J303" s="55">
        <f t="shared" si="210"/>
        <v>0</v>
      </c>
      <c r="K303" s="369"/>
      <c r="L303" s="55">
        <f t="shared" si="211"/>
        <v>0</v>
      </c>
      <c r="M303" s="56" t="e">
        <f t="shared" si="212"/>
        <v>#DIV/0!</v>
      </c>
      <c r="N303" s="57" t="e">
        <f t="shared" si="213"/>
        <v>#DIV/0!</v>
      </c>
      <c r="O303" s="57" t="e">
        <f t="shared" si="214"/>
        <v>#DIV/0!</v>
      </c>
      <c r="P303" s="58" t="e">
        <f t="shared" si="215"/>
        <v>#DIV/0!</v>
      </c>
      <c r="Q303" s="367"/>
      <c r="R303" s="59" t="e">
        <f t="shared" si="216"/>
        <v>#DIV/0!</v>
      </c>
      <c r="S303" s="94"/>
      <c r="T303" s="61"/>
      <c r="U303" s="48"/>
      <c r="V303" s="49"/>
    </row>
    <row r="304" spans="1:22">
      <c r="B304" s="93"/>
      <c r="C304" s="93" t="s">
        <v>81</v>
      </c>
      <c r="D304" s="50"/>
      <c r="E304" s="52"/>
      <c r="F304" s="92" t="s">
        <v>480</v>
      </c>
      <c r="G304" s="358"/>
      <c r="H304" s="366"/>
      <c r="I304" s="366"/>
      <c r="J304" s="55">
        <f t="shared" si="210"/>
        <v>0</v>
      </c>
      <c r="K304" s="369"/>
      <c r="L304" s="55">
        <f t="shared" si="211"/>
        <v>0</v>
      </c>
      <c r="M304" s="56" t="e">
        <f t="shared" si="212"/>
        <v>#DIV/0!</v>
      </c>
      <c r="N304" s="57" t="e">
        <f t="shared" si="213"/>
        <v>#DIV/0!</v>
      </c>
      <c r="O304" s="57" t="e">
        <f t="shared" si="214"/>
        <v>#DIV/0!</v>
      </c>
      <c r="P304" s="58" t="e">
        <f t="shared" si="215"/>
        <v>#DIV/0!</v>
      </c>
      <c r="Q304" s="367"/>
      <c r="R304" s="59" t="e">
        <f t="shared" si="216"/>
        <v>#DIV/0!</v>
      </c>
      <c r="S304" s="94"/>
      <c r="T304" s="61"/>
      <c r="U304" s="48"/>
      <c r="V304" s="49"/>
    </row>
    <row r="305" spans="1:22">
      <c r="B305" s="93"/>
      <c r="C305" s="93" t="s">
        <v>81</v>
      </c>
      <c r="D305" s="50"/>
      <c r="E305" s="52"/>
      <c r="F305" s="92" t="s">
        <v>258</v>
      </c>
      <c r="G305" s="358"/>
      <c r="H305" s="366"/>
      <c r="I305" s="366"/>
      <c r="J305" s="55">
        <f t="shared" si="210"/>
        <v>0</v>
      </c>
      <c r="K305" s="369"/>
      <c r="L305" s="55">
        <f t="shared" si="211"/>
        <v>0</v>
      </c>
      <c r="M305" s="56" t="e">
        <f t="shared" si="212"/>
        <v>#DIV/0!</v>
      </c>
      <c r="N305" s="57" t="e">
        <f t="shared" si="213"/>
        <v>#DIV/0!</v>
      </c>
      <c r="O305" s="57" t="e">
        <f t="shared" si="214"/>
        <v>#DIV/0!</v>
      </c>
      <c r="P305" s="58" t="e">
        <f t="shared" si="215"/>
        <v>#DIV/0!</v>
      </c>
      <c r="Q305" s="367"/>
      <c r="R305" s="59" t="e">
        <f t="shared" si="216"/>
        <v>#DIV/0!</v>
      </c>
      <c r="S305" s="94"/>
      <c r="T305" s="61"/>
      <c r="U305" s="48"/>
      <c r="V305" s="49"/>
    </row>
    <row r="306" spans="1:22">
      <c r="B306" s="93"/>
      <c r="C306" s="93" t="s">
        <v>81</v>
      </c>
      <c r="D306" s="50"/>
      <c r="E306" s="52"/>
      <c r="F306" s="92" t="s">
        <v>140</v>
      </c>
      <c r="G306" s="358"/>
      <c r="H306" s="366"/>
      <c r="I306" s="366"/>
      <c r="J306" s="55">
        <f t="shared" si="210"/>
        <v>0</v>
      </c>
      <c r="K306" s="369"/>
      <c r="L306" s="55">
        <f t="shared" si="211"/>
        <v>0</v>
      </c>
      <c r="M306" s="56" t="e">
        <f t="shared" si="212"/>
        <v>#DIV/0!</v>
      </c>
      <c r="N306" s="57" t="e">
        <f t="shared" si="213"/>
        <v>#DIV/0!</v>
      </c>
      <c r="O306" s="57" t="e">
        <f t="shared" si="214"/>
        <v>#DIV/0!</v>
      </c>
      <c r="P306" s="58" t="e">
        <f t="shared" si="215"/>
        <v>#DIV/0!</v>
      </c>
      <c r="Q306" s="367"/>
      <c r="R306" s="59" t="e">
        <f t="shared" si="216"/>
        <v>#DIV/0!</v>
      </c>
      <c r="S306" s="94"/>
      <c r="T306" s="61"/>
      <c r="U306" s="48"/>
      <c r="V306" s="49"/>
    </row>
    <row r="307" spans="1:22">
      <c r="B307" s="93"/>
      <c r="C307" s="93" t="s">
        <v>81</v>
      </c>
      <c r="D307" s="50"/>
      <c r="E307" s="52"/>
      <c r="F307" s="92" t="s">
        <v>109</v>
      </c>
      <c r="G307" s="366"/>
      <c r="H307" s="366"/>
      <c r="I307" s="366"/>
      <c r="J307" s="55">
        <f t="shared" si="210"/>
        <v>0</v>
      </c>
      <c r="K307" s="369"/>
      <c r="L307" s="55">
        <f t="shared" si="211"/>
        <v>0</v>
      </c>
      <c r="M307" s="56" t="e">
        <f t="shared" si="212"/>
        <v>#DIV/0!</v>
      </c>
      <c r="N307" s="57" t="e">
        <f t="shared" si="213"/>
        <v>#DIV/0!</v>
      </c>
      <c r="O307" s="57" t="e">
        <f t="shared" si="214"/>
        <v>#DIV/0!</v>
      </c>
      <c r="P307" s="58" t="e">
        <f t="shared" si="215"/>
        <v>#DIV/0!</v>
      </c>
      <c r="Q307" s="367"/>
      <c r="R307" s="59" t="e">
        <f t="shared" si="216"/>
        <v>#DIV/0!</v>
      </c>
      <c r="S307" s="94"/>
      <c r="T307" s="61"/>
      <c r="U307" s="48"/>
      <c r="V307" s="49"/>
    </row>
    <row r="308" spans="1:22">
      <c r="B308" s="93"/>
      <c r="C308" s="93" t="s">
        <v>81</v>
      </c>
      <c r="D308" s="50"/>
      <c r="E308" s="52"/>
      <c r="F308" s="92" t="s">
        <v>216</v>
      </c>
      <c r="G308" s="366"/>
      <c r="H308" s="366"/>
      <c r="I308" s="366"/>
      <c r="J308" s="55">
        <f t="shared" si="210"/>
        <v>0</v>
      </c>
      <c r="K308" s="369"/>
      <c r="L308" s="55">
        <f t="shared" si="211"/>
        <v>0</v>
      </c>
      <c r="M308" s="56" t="e">
        <f t="shared" si="212"/>
        <v>#DIV/0!</v>
      </c>
      <c r="N308" s="57" t="e">
        <f t="shared" si="213"/>
        <v>#DIV/0!</v>
      </c>
      <c r="O308" s="57" t="e">
        <f t="shared" si="214"/>
        <v>#DIV/0!</v>
      </c>
      <c r="P308" s="58" t="e">
        <f t="shared" si="215"/>
        <v>#DIV/0!</v>
      </c>
      <c r="Q308" s="367"/>
      <c r="R308" s="59" t="e">
        <f t="shared" si="216"/>
        <v>#DIV/0!</v>
      </c>
      <c r="S308" s="94"/>
      <c r="T308" s="61"/>
      <c r="U308" s="48"/>
      <c r="V308" s="49"/>
    </row>
    <row r="309" spans="1:22">
      <c r="B309" s="93"/>
      <c r="C309" s="93" t="s">
        <v>81</v>
      </c>
      <c r="D309" s="50"/>
      <c r="E309" s="52"/>
      <c r="F309" s="92" t="s">
        <v>32</v>
      </c>
      <c r="G309" s="366"/>
      <c r="H309" s="366"/>
      <c r="I309" s="366"/>
      <c r="J309" s="55">
        <f t="shared" si="210"/>
        <v>0</v>
      </c>
      <c r="K309" s="369"/>
      <c r="L309" s="55">
        <f t="shared" si="211"/>
        <v>0</v>
      </c>
      <c r="M309" s="56" t="e">
        <f t="shared" si="212"/>
        <v>#DIV/0!</v>
      </c>
      <c r="N309" s="57" t="e">
        <f t="shared" si="213"/>
        <v>#DIV/0!</v>
      </c>
      <c r="O309" s="57" t="e">
        <f t="shared" si="214"/>
        <v>#DIV/0!</v>
      </c>
      <c r="P309" s="58" t="e">
        <f t="shared" si="215"/>
        <v>#DIV/0!</v>
      </c>
      <c r="Q309" s="367"/>
      <c r="R309" s="59" t="e">
        <f t="shared" si="216"/>
        <v>#DIV/0!</v>
      </c>
      <c r="S309" s="94"/>
      <c r="T309" s="61"/>
      <c r="U309" s="48"/>
      <c r="V309" s="49"/>
    </row>
    <row r="310" spans="1:22">
      <c r="B310" s="93"/>
      <c r="C310" s="93" t="s">
        <v>81</v>
      </c>
      <c r="D310" s="50"/>
      <c r="E310" s="52"/>
      <c r="F310" s="92" t="s">
        <v>30</v>
      </c>
      <c r="G310" s="366"/>
      <c r="H310" s="366"/>
      <c r="I310" s="366"/>
      <c r="J310" s="55">
        <f t="shared" si="210"/>
        <v>0</v>
      </c>
      <c r="K310" s="369"/>
      <c r="L310" s="55">
        <f t="shared" si="211"/>
        <v>0</v>
      </c>
      <c r="M310" s="56" t="e">
        <f t="shared" si="212"/>
        <v>#DIV/0!</v>
      </c>
      <c r="N310" s="57" t="e">
        <f t="shared" si="213"/>
        <v>#DIV/0!</v>
      </c>
      <c r="O310" s="57" t="e">
        <f t="shared" si="214"/>
        <v>#DIV/0!</v>
      </c>
      <c r="P310" s="58" t="e">
        <f t="shared" si="215"/>
        <v>#DIV/0!</v>
      </c>
      <c r="Q310" s="367"/>
      <c r="R310" s="59" t="e">
        <f t="shared" si="216"/>
        <v>#DIV/0!</v>
      </c>
      <c r="S310" s="94"/>
      <c r="T310" s="61"/>
      <c r="U310" s="48"/>
      <c r="V310" s="49"/>
    </row>
    <row r="311" spans="1:22">
      <c r="B311" s="93"/>
      <c r="C311" s="93" t="s">
        <v>81</v>
      </c>
      <c r="D311" s="50"/>
      <c r="E311" s="52"/>
      <c r="F311" s="92" t="s">
        <v>31</v>
      </c>
      <c r="G311" s="366"/>
      <c r="H311" s="366"/>
      <c r="I311" s="366"/>
      <c r="J311" s="55">
        <f t="shared" si="210"/>
        <v>0</v>
      </c>
      <c r="K311" s="369"/>
      <c r="L311" s="55">
        <f t="shared" si="211"/>
        <v>0</v>
      </c>
      <c r="M311" s="56" t="e">
        <f t="shared" si="212"/>
        <v>#DIV/0!</v>
      </c>
      <c r="N311" s="57" t="e">
        <f t="shared" si="213"/>
        <v>#DIV/0!</v>
      </c>
      <c r="O311" s="57" t="e">
        <f t="shared" si="214"/>
        <v>#DIV/0!</v>
      </c>
      <c r="P311" s="58" t="e">
        <f t="shared" si="215"/>
        <v>#DIV/0!</v>
      </c>
      <c r="Q311" s="367"/>
      <c r="R311" s="59" t="e">
        <f t="shared" si="216"/>
        <v>#DIV/0!</v>
      </c>
      <c r="S311" s="94"/>
      <c r="T311" s="61"/>
      <c r="U311" s="48"/>
      <c r="V311" s="49"/>
    </row>
    <row r="312" spans="1:22">
      <c r="B312" s="93"/>
      <c r="C312" s="93" t="s">
        <v>583</v>
      </c>
      <c r="D312" s="50"/>
      <c r="E312" s="52"/>
      <c r="F312" s="92" t="s">
        <v>239</v>
      </c>
      <c r="G312" s="358"/>
      <c r="H312" s="366"/>
      <c r="I312" s="366"/>
      <c r="J312" s="55">
        <f t="shared" si="210"/>
        <v>0</v>
      </c>
      <c r="K312" s="369"/>
      <c r="L312" s="55">
        <f t="shared" si="211"/>
        <v>0</v>
      </c>
      <c r="M312" s="56" t="e">
        <f t="shared" si="212"/>
        <v>#DIV/0!</v>
      </c>
      <c r="N312" s="57" t="e">
        <f t="shared" si="213"/>
        <v>#DIV/0!</v>
      </c>
      <c r="O312" s="57" t="e">
        <f t="shared" si="214"/>
        <v>#DIV/0!</v>
      </c>
      <c r="P312" s="58" t="e">
        <f t="shared" si="215"/>
        <v>#DIV/0!</v>
      </c>
      <c r="Q312" s="367"/>
      <c r="R312" s="59" t="e">
        <f t="shared" si="216"/>
        <v>#DIV/0!</v>
      </c>
      <c r="S312" s="94"/>
      <c r="T312" s="61"/>
      <c r="U312" s="48"/>
      <c r="V312" s="49"/>
    </row>
    <row r="313" spans="1:22">
      <c r="B313" s="93"/>
      <c r="C313" s="93" t="s">
        <v>81</v>
      </c>
      <c r="D313" s="50"/>
      <c r="E313" s="52"/>
      <c r="F313" s="92" t="s">
        <v>481</v>
      </c>
      <c r="G313" s="358"/>
      <c r="H313" s="366"/>
      <c r="I313" s="366"/>
      <c r="J313" s="55">
        <f t="shared" si="210"/>
        <v>0</v>
      </c>
      <c r="K313" s="369"/>
      <c r="L313" s="55">
        <f t="shared" si="211"/>
        <v>0</v>
      </c>
      <c r="M313" s="56" t="e">
        <f t="shared" si="212"/>
        <v>#DIV/0!</v>
      </c>
      <c r="N313" s="57" t="e">
        <f t="shared" si="213"/>
        <v>#DIV/0!</v>
      </c>
      <c r="O313" s="57" t="e">
        <f t="shared" si="214"/>
        <v>#DIV/0!</v>
      </c>
      <c r="P313" s="58" t="e">
        <f t="shared" si="215"/>
        <v>#DIV/0!</v>
      </c>
      <c r="Q313" s="367"/>
      <c r="R313" s="59" t="e">
        <f t="shared" si="216"/>
        <v>#DIV/0!</v>
      </c>
      <c r="S313" s="94"/>
      <c r="T313" s="61"/>
      <c r="U313" s="48"/>
      <c r="V313" s="49"/>
    </row>
    <row r="314" spans="1:22">
      <c r="B314" s="93"/>
      <c r="C314" s="93" t="s">
        <v>81</v>
      </c>
      <c r="D314" s="50"/>
      <c r="E314" s="52"/>
      <c r="F314" s="92" t="s">
        <v>482</v>
      </c>
      <c r="G314" s="358"/>
      <c r="H314" s="366"/>
      <c r="I314" s="366"/>
      <c r="J314" s="55">
        <f t="shared" si="210"/>
        <v>0</v>
      </c>
      <c r="K314" s="369"/>
      <c r="L314" s="55">
        <f t="shared" ref="L314" si="217">J314-K314</f>
        <v>0</v>
      </c>
      <c r="M314" s="56" t="e">
        <f t="shared" si="188"/>
        <v>#DIV/0!</v>
      </c>
      <c r="N314" s="57" t="e">
        <f t="shared" si="213"/>
        <v>#DIV/0!</v>
      </c>
      <c r="O314" s="57" t="e">
        <f t="shared" si="214"/>
        <v>#DIV/0!</v>
      </c>
      <c r="P314" s="58" t="e">
        <f t="shared" ref="P314" si="218">IF(ABS(O314)&gt;100%,"O","X")</f>
        <v>#DIV/0!</v>
      </c>
      <c r="Q314" s="367"/>
      <c r="R314" s="59" t="e">
        <f t="shared" ref="R314" si="219">IF(P314="O","O",IF(Q314="O","O","X"))</f>
        <v>#DIV/0!</v>
      </c>
      <c r="S314" s="94"/>
      <c r="T314" s="61"/>
      <c r="U314" s="48"/>
      <c r="V314" s="49"/>
    </row>
    <row r="315" spans="1:22">
      <c r="B315" s="332"/>
      <c r="C315" s="332"/>
      <c r="D315" s="44" t="s">
        <v>657</v>
      </c>
      <c r="E315" s="45"/>
      <c r="F315" s="45"/>
      <c r="G315" s="332">
        <f>G259+G262-G287+G276-G301</f>
        <v>0</v>
      </c>
      <c r="H315" s="332"/>
      <c r="I315" s="332"/>
      <c r="J315" s="332">
        <f>J259+J262-J287+J276-J301</f>
        <v>0</v>
      </c>
      <c r="K315" s="332">
        <f>K259+K262-K287+K276-K301</f>
        <v>0</v>
      </c>
      <c r="L315" s="332">
        <f>L259+L262-L287+L276-L301</f>
        <v>0</v>
      </c>
      <c r="M315" s="333" t="e">
        <f t="shared" si="188"/>
        <v>#DIV/0!</v>
      </c>
      <c r="N315" s="47"/>
      <c r="O315" s="47"/>
      <c r="P315" s="47"/>
      <c r="Q315" s="47"/>
      <c r="R315" s="47"/>
      <c r="S315" s="90"/>
      <c r="T315" s="122"/>
      <c r="U315" s="48"/>
      <c r="V315" s="49"/>
    </row>
    <row r="316" spans="1:22">
      <c r="A316" s="10">
        <v>1</v>
      </c>
      <c r="B316" s="103"/>
      <c r="C316" s="103"/>
      <c r="D316" s="50"/>
      <c r="E316" s="113" t="s">
        <v>33</v>
      </c>
      <c r="F316" s="113"/>
      <c r="G316" s="103" t="e">
        <f>G315/G207</f>
        <v>#DIV/0!</v>
      </c>
      <c r="H316" s="103"/>
      <c r="I316" s="103"/>
      <c r="J316" s="103" t="e">
        <f>J315/J207</f>
        <v>#DIV/0!</v>
      </c>
      <c r="K316" s="103" t="e">
        <f>K315/K207</f>
        <v>#DIV/0!</v>
      </c>
      <c r="L316" s="103" t="e">
        <f>J316-K316</f>
        <v>#DIV/0!</v>
      </c>
      <c r="M316" s="56"/>
      <c r="N316" s="56"/>
      <c r="O316" s="56"/>
      <c r="P316" s="56"/>
      <c r="Q316" s="56"/>
      <c r="R316" s="56"/>
      <c r="S316" s="90"/>
      <c r="T316" s="122"/>
      <c r="U316" s="112"/>
      <c r="V316" s="114"/>
    </row>
    <row r="317" spans="1:22">
      <c r="A317" s="10">
        <v>1</v>
      </c>
      <c r="B317" s="55"/>
      <c r="C317" s="55" t="s">
        <v>253</v>
      </c>
      <c r="D317" s="50"/>
      <c r="E317" s="52"/>
      <c r="F317" s="52" t="s">
        <v>75</v>
      </c>
      <c r="G317" s="358"/>
      <c r="H317" s="358"/>
      <c r="I317" s="358"/>
      <c r="J317" s="55">
        <f>G317+H317-I317</f>
        <v>0</v>
      </c>
      <c r="K317" s="358"/>
      <c r="L317" s="55">
        <f>J317-K317</f>
        <v>0</v>
      </c>
      <c r="M317" s="56" t="e">
        <f>L317/K317</f>
        <v>#DIV/0!</v>
      </c>
      <c r="N317" s="57" t="e">
        <f>G317/$N$12</f>
        <v>#DIV/0!</v>
      </c>
      <c r="O317" s="57" t="e">
        <f>G317*12/CurMonths/$O$12</f>
        <v>#DIV/0!</v>
      </c>
      <c r="P317" s="58" t="e">
        <f>IF(ABS(O317)&gt;100%,"O","X")</f>
        <v>#DIV/0!</v>
      </c>
      <c r="Q317" s="367"/>
      <c r="R317" s="59" t="e">
        <f>IF(P317="O","O",IF(Q317="O","O","X"))</f>
        <v>#DIV/0!</v>
      </c>
      <c r="S317" s="133"/>
      <c r="T317" s="61"/>
      <c r="U317" s="112"/>
      <c r="V317" s="114"/>
    </row>
    <row r="318" spans="1:22">
      <c r="A318" s="10">
        <v>1</v>
      </c>
      <c r="B318" s="332"/>
      <c r="C318" s="332"/>
      <c r="D318" s="44" t="s">
        <v>34</v>
      </c>
      <c r="E318" s="45"/>
      <c r="F318" s="45"/>
      <c r="G318" s="332">
        <f>G315-G317</f>
        <v>0</v>
      </c>
      <c r="H318" s="332"/>
      <c r="I318" s="332"/>
      <c r="J318" s="332">
        <f>J315-J317</f>
        <v>0</v>
      </c>
      <c r="K318" s="332">
        <f>K315-K317</f>
        <v>0</v>
      </c>
      <c r="L318" s="332">
        <f>J318-K318</f>
        <v>0</v>
      </c>
      <c r="M318" s="333" t="e">
        <f>L318/K318</f>
        <v>#DIV/0!</v>
      </c>
      <c r="N318" s="57" t="e">
        <f>G318/$N$12</f>
        <v>#DIV/0!</v>
      </c>
      <c r="O318" s="57" t="e">
        <f>G318*12/CurMonths/$O$12</f>
        <v>#DIV/0!</v>
      </c>
      <c r="P318" s="58" t="e">
        <f>IF(ABS(O318)&gt;100%,"O","X")</f>
        <v>#DIV/0!</v>
      </c>
      <c r="Q318" s="57"/>
      <c r="R318" s="59" t="e">
        <f>IF(P318="O","O",IF(Q318="O","O","X"))</f>
        <v>#DIV/0!</v>
      </c>
      <c r="S318" s="90"/>
      <c r="T318" s="122"/>
      <c r="U318" s="48"/>
      <c r="V318" s="49"/>
    </row>
    <row r="319" spans="1:22">
      <c r="A319" s="10">
        <v>1</v>
      </c>
      <c r="B319" s="103"/>
      <c r="C319" s="103"/>
      <c r="D319" s="50"/>
      <c r="E319" s="113" t="s">
        <v>35</v>
      </c>
      <c r="F319" s="113"/>
      <c r="G319" s="103" t="e">
        <f>G318/G207</f>
        <v>#DIV/0!</v>
      </c>
      <c r="H319" s="103"/>
      <c r="I319" s="103"/>
      <c r="J319" s="103" t="e">
        <f>J318/J207</f>
        <v>#DIV/0!</v>
      </c>
      <c r="K319" s="103" t="e">
        <f>K318/K207</f>
        <v>#DIV/0!</v>
      </c>
      <c r="L319" s="103" t="e">
        <f>J319-K319</f>
        <v>#DIV/0!</v>
      </c>
      <c r="M319" s="56"/>
      <c r="N319" s="56"/>
      <c r="O319" s="56"/>
      <c r="P319" s="56"/>
      <c r="Q319" s="56"/>
      <c r="R319" s="56"/>
      <c r="S319" s="90"/>
      <c r="T319" s="122"/>
      <c r="U319" s="112"/>
      <c r="V319" s="114"/>
    </row>
    <row r="320" spans="1:22">
      <c r="A320" s="10">
        <v>1</v>
      </c>
      <c r="B320" s="332"/>
      <c r="C320" s="332"/>
      <c r="D320" s="44" t="s">
        <v>74</v>
      </c>
      <c r="E320" s="115"/>
      <c r="F320" s="115"/>
      <c r="G320" s="332">
        <f>G321+G323</f>
        <v>0</v>
      </c>
      <c r="H320" s="332"/>
      <c r="I320" s="332"/>
      <c r="J320" s="332">
        <f>J321+J323</f>
        <v>0</v>
      </c>
      <c r="K320" s="332">
        <f>K321+K323</f>
        <v>0</v>
      </c>
      <c r="L320" s="332">
        <f>J320-K320</f>
        <v>0</v>
      </c>
      <c r="M320" s="333" t="e">
        <f>L320/K320</f>
        <v>#DIV/0!</v>
      </c>
      <c r="N320" s="47"/>
      <c r="O320" s="47"/>
      <c r="P320" s="47"/>
      <c r="Q320" s="47"/>
      <c r="R320" s="47"/>
      <c r="S320" s="348"/>
      <c r="T320" s="283"/>
      <c r="U320" s="112"/>
      <c r="V320" s="114"/>
    </row>
    <row r="321" spans="1:22">
      <c r="B321" s="334"/>
      <c r="C321" s="334"/>
      <c r="D321" s="44"/>
      <c r="E321" s="45" t="s">
        <v>498</v>
      </c>
      <c r="F321" s="115"/>
      <c r="G321" s="334">
        <f>SUM(G322)</f>
        <v>0</v>
      </c>
      <c r="H321" s="334"/>
      <c r="I321" s="334"/>
      <c r="J321" s="334">
        <f>SUM(J322)</f>
        <v>0</v>
      </c>
      <c r="K321" s="334">
        <f>SUM(K322)</f>
        <v>0</v>
      </c>
      <c r="L321" s="334"/>
      <c r="M321" s="335"/>
      <c r="N321" s="316"/>
      <c r="O321" s="316"/>
      <c r="P321" s="316"/>
      <c r="Q321" s="316"/>
      <c r="R321" s="316"/>
      <c r="S321" s="348"/>
      <c r="T321" s="283"/>
      <c r="U321" s="112"/>
      <c r="V321" s="114"/>
    </row>
    <row r="322" spans="1:22">
      <c r="B322" s="165"/>
      <c r="C322" s="165" t="s">
        <v>588</v>
      </c>
      <c r="D322" s="44"/>
      <c r="E322" s="115"/>
      <c r="F322" s="92" t="s">
        <v>145</v>
      </c>
      <c r="G322" s="371"/>
      <c r="H322" s="371"/>
      <c r="I322" s="371"/>
      <c r="J322" s="165">
        <f>G322+H322-I322</f>
        <v>0</v>
      </c>
      <c r="K322" s="371"/>
      <c r="L322" s="55">
        <f>J322-K322</f>
        <v>0</v>
      </c>
      <c r="M322" s="56" t="e">
        <f>L322/K322</f>
        <v>#DIV/0!</v>
      </c>
      <c r="N322" s="57" t="e">
        <f>G322/$N$12</f>
        <v>#DIV/0!</v>
      </c>
      <c r="O322" s="57" t="e">
        <f>G322*12/CurMonths/$O$12</f>
        <v>#DIV/0!</v>
      </c>
      <c r="P322" s="58" t="e">
        <f>IF(ABS(O322)&gt;100%,"O","X")</f>
        <v>#DIV/0!</v>
      </c>
      <c r="Q322" s="367"/>
      <c r="R322" s="59" t="e">
        <f>IF(P322="O","O",IF(Q322="O","O","X"))</f>
        <v>#DIV/0!</v>
      </c>
      <c r="S322" s="348"/>
      <c r="T322" s="283"/>
      <c r="U322" s="112"/>
      <c r="V322" s="114"/>
    </row>
    <row r="323" spans="1:22">
      <c r="B323" s="334"/>
      <c r="C323" s="334"/>
      <c r="D323" s="44"/>
      <c r="E323" s="45" t="s">
        <v>499</v>
      </c>
      <c r="F323" s="92"/>
      <c r="G323" s="334">
        <f>SUM(G324:G327)</f>
        <v>0</v>
      </c>
      <c r="H323" s="334"/>
      <c r="I323" s="334"/>
      <c r="J323" s="334">
        <f>SUM(J324:J327)</f>
        <v>0</v>
      </c>
      <c r="K323" s="334">
        <f>SUM(K324:K327)</f>
        <v>0</v>
      </c>
      <c r="L323" s="334"/>
      <c r="M323" s="335"/>
      <c r="N323" s="299"/>
      <c r="O323" s="299"/>
      <c r="P323" s="300"/>
      <c r="Q323" s="299"/>
      <c r="R323" s="301"/>
      <c r="S323" s="348"/>
      <c r="T323" s="283"/>
      <c r="U323" s="112"/>
      <c r="V323" s="114"/>
    </row>
    <row r="324" spans="1:22">
      <c r="B324" s="65"/>
      <c r="C324" s="65" t="s">
        <v>255</v>
      </c>
      <c r="D324" s="44"/>
      <c r="E324" s="45"/>
      <c r="F324" s="92" t="s">
        <v>500</v>
      </c>
      <c r="G324" s="372"/>
      <c r="H324" s="372"/>
      <c r="I324" s="372"/>
      <c r="J324" s="65">
        <f>G324+I324-H324</f>
        <v>0</v>
      </c>
      <c r="K324" s="372"/>
      <c r="L324" s="55">
        <f>J324-K324</f>
        <v>0</v>
      </c>
      <c r="M324" s="56" t="e">
        <f t="shared" ref="M324:M327" si="220">L324/K324</f>
        <v>#DIV/0!</v>
      </c>
      <c r="N324" s="57" t="e">
        <f>G324/$N$12</f>
        <v>#DIV/0!</v>
      </c>
      <c r="O324" s="57" t="e">
        <f>G324*12/CurMonths/$O$12</f>
        <v>#DIV/0!</v>
      </c>
      <c r="P324" s="58" t="e">
        <f t="shared" ref="P324:P327" si="221">IF(ABS(O324)&gt;100%,"O","X")</f>
        <v>#DIV/0!</v>
      </c>
      <c r="Q324" s="367"/>
      <c r="R324" s="59" t="e">
        <f t="shared" ref="R324:R327" si="222">IF(P324="O","O",IF(Q324="O","O","X"))</f>
        <v>#DIV/0!</v>
      </c>
      <c r="S324" s="348"/>
      <c r="T324" s="283"/>
      <c r="U324" s="112"/>
      <c r="V324" s="114"/>
    </row>
    <row r="325" spans="1:22">
      <c r="B325" s="65"/>
      <c r="C325" s="65" t="s">
        <v>586</v>
      </c>
      <c r="D325" s="44"/>
      <c r="E325" s="45"/>
      <c r="F325" s="92" t="s">
        <v>501</v>
      </c>
      <c r="G325" s="372"/>
      <c r="H325" s="372"/>
      <c r="I325" s="372"/>
      <c r="J325" s="65">
        <f>G325+H325-I325</f>
        <v>0</v>
      </c>
      <c r="K325" s="372"/>
      <c r="L325" s="55">
        <f>J325-K325</f>
        <v>0</v>
      </c>
      <c r="M325" s="56" t="e">
        <f t="shared" si="220"/>
        <v>#DIV/0!</v>
      </c>
      <c r="N325" s="57" t="e">
        <f>G325/$N$12</f>
        <v>#DIV/0!</v>
      </c>
      <c r="O325" s="57" t="e">
        <f>G325*12/CurMonths/$O$12</f>
        <v>#DIV/0!</v>
      </c>
      <c r="P325" s="58" t="e">
        <f t="shared" si="221"/>
        <v>#DIV/0!</v>
      </c>
      <c r="Q325" s="367"/>
      <c r="R325" s="59" t="e">
        <f t="shared" si="222"/>
        <v>#DIV/0!</v>
      </c>
      <c r="S325" s="348"/>
      <c r="T325" s="283"/>
      <c r="U325" s="112"/>
      <c r="V325" s="114"/>
    </row>
    <row r="326" spans="1:22">
      <c r="B326" s="51"/>
      <c r="C326" s="51"/>
      <c r="D326" s="44"/>
      <c r="E326" s="45"/>
      <c r="F326" s="92" t="s">
        <v>455</v>
      </c>
      <c r="G326" s="358"/>
      <c r="H326" s="368"/>
      <c r="I326" s="368"/>
      <c r="J326" s="51">
        <f>G326+H326-I326</f>
        <v>0</v>
      </c>
      <c r="K326" s="372"/>
      <c r="L326" s="55">
        <f>J326-K326</f>
        <v>0</v>
      </c>
      <c r="M326" s="56" t="e">
        <f t="shared" si="220"/>
        <v>#DIV/0!</v>
      </c>
      <c r="N326" s="57" t="e">
        <f>G326/$N$12</f>
        <v>#DIV/0!</v>
      </c>
      <c r="O326" s="57" t="e">
        <f>G326*12/CurMonths/$O$12</f>
        <v>#DIV/0!</v>
      </c>
      <c r="P326" s="58" t="e">
        <f t="shared" si="221"/>
        <v>#DIV/0!</v>
      </c>
      <c r="Q326" s="367"/>
      <c r="R326" s="59" t="e">
        <f t="shared" si="222"/>
        <v>#DIV/0!</v>
      </c>
      <c r="S326" s="348"/>
      <c r="T326" s="283"/>
      <c r="U326" s="112"/>
      <c r="V326" s="114"/>
    </row>
    <row r="327" spans="1:22">
      <c r="B327" s="51"/>
      <c r="C327" s="51"/>
      <c r="D327" s="44"/>
      <c r="E327" s="115"/>
      <c r="F327" s="92" t="s">
        <v>502</v>
      </c>
      <c r="G327" s="358"/>
      <c r="H327" s="368"/>
      <c r="I327" s="368"/>
      <c r="J327" s="51">
        <f>G327+H327-I327</f>
        <v>0</v>
      </c>
      <c r="K327" s="368"/>
      <c r="L327" s="55">
        <f>J327-K327</f>
        <v>0</v>
      </c>
      <c r="M327" s="56" t="e">
        <f t="shared" si="220"/>
        <v>#DIV/0!</v>
      </c>
      <c r="N327" s="57" t="e">
        <f>G327/$N$12</f>
        <v>#DIV/0!</v>
      </c>
      <c r="O327" s="57" t="e">
        <f>G327*12/CurMonths/$O$12</f>
        <v>#DIV/0!</v>
      </c>
      <c r="P327" s="58" t="e">
        <f t="shared" si="221"/>
        <v>#DIV/0!</v>
      </c>
      <c r="Q327" s="367"/>
      <c r="R327" s="59" t="e">
        <f t="shared" si="222"/>
        <v>#DIV/0!</v>
      </c>
      <c r="S327" s="348"/>
      <c r="T327" s="283"/>
      <c r="U327" s="112"/>
      <c r="V327" s="114"/>
    </row>
    <row r="328" spans="1:22">
      <c r="A328" s="10">
        <v>1</v>
      </c>
      <c r="B328" s="332"/>
      <c r="C328" s="332"/>
      <c r="D328" s="44" t="s">
        <v>76</v>
      </c>
      <c r="E328" s="115"/>
      <c r="F328" s="115"/>
      <c r="G328" s="332">
        <f>G318+G320</f>
        <v>0</v>
      </c>
      <c r="H328" s="332"/>
      <c r="I328" s="332"/>
      <c r="J328" s="332">
        <f>J318+J320</f>
        <v>0</v>
      </c>
      <c r="K328" s="332">
        <f>K318+K320</f>
        <v>0</v>
      </c>
      <c r="L328" s="332">
        <f>L318+L320</f>
        <v>0</v>
      </c>
      <c r="M328" s="333"/>
      <c r="N328" s="47"/>
      <c r="O328" s="47"/>
      <c r="P328" s="47"/>
      <c r="Q328" s="47"/>
      <c r="R328" s="47"/>
      <c r="S328" s="348"/>
      <c r="T328" s="283"/>
      <c r="U328" s="117"/>
      <c r="V328" s="118"/>
    </row>
    <row r="329" spans="1:22">
      <c r="A329" s="10">
        <v>1</v>
      </c>
      <c r="B329" s="74"/>
      <c r="C329" s="74"/>
      <c r="D329" s="74"/>
      <c r="E329" s="74"/>
      <c r="F329" s="74"/>
      <c r="G329" s="74"/>
      <c r="H329" s="74">
        <f>SUM(H207:H327)</f>
        <v>0</v>
      </c>
      <c r="I329" s="74">
        <f>SUM(I207:I327)</f>
        <v>0</v>
      </c>
      <c r="J329" s="74">
        <f>H329-I329</f>
        <v>0</v>
      </c>
      <c r="K329" s="74"/>
      <c r="L329" s="74"/>
      <c r="M329" s="74"/>
      <c r="N329" s="74"/>
      <c r="O329" s="74"/>
      <c r="P329" s="74"/>
      <c r="Q329" s="74"/>
      <c r="R329" s="74"/>
      <c r="S329" s="48"/>
      <c r="T329" s="283"/>
      <c r="U329" s="116"/>
      <c r="V329" s="116"/>
    </row>
    <row r="330" spans="1:22">
      <c r="A330" s="10">
        <v>1</v>
      </c>
      <c r="B330" s="74"/>
      <c r="C330" s="74"/>
      <c r="D330" s="74" t="s">
        <v>85</v>
      </c>
      <c r="E330" s="29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48"/>
      <c r="T330" s="283"/>
      <c r="U330" s="77"/>
      <c r="V330" s="11"/>
    </row>
    <row r="331" spans="1:22">
      <c r="A331" s="10">
        <v>1</v>
      </c>
      <c r="B331" s="31"/>
      <c r="C331" s="31"/>
      <c r="D331" s="30"/>
      <c r="E331" s="30"/>
      <c r="F331" s="30"/>
      <c r="G331" s="362"/>
      <c r="H331" s="362"/>
      <c r="I331" s="362"/>
      <c r="J331" s="31" t="s">
        <v>247</v>
      </c>
      <c r="K331" s="31">
        <f>K204</f>
        <v>0</v>
      </c>
      <c r="L331" s="78" t="s">
        <v>1</v>
      </c>
      <c r="M331" s="80"/>
      <c r="N331" s="119" t="s">
        <v>124</v>
      </c>
      <c r="O331" s="119" t="s">
        <v>125</v>
      </c>
      <c r="P331" s="119" t="s">
        <v>120</v>
      </c>
      <c r="Q331" s="373"/>
      <c r="R331" s="119"/>
      <c r="S331" s="415"/>
      <c r="T331" s="283"/>
      <c r="U331" s="77"/>
      <c r="V331" s="11"/>
    </row>
    <row r="332" spans="1:22">
      <c r="A332" s="10">
        <v>1</v>
      </c>
      <c r="B332" s="36"/>
      <c r="C332" s="36"/>
      <c r="D332" s="35"/>
      <c r="E332" s="35"/>
      <c r="F332" s="35"/>
      <c r="G332" s="374"/>
      <c r="H332" s="374"/>
      <c r="I332" s="374"/>
      <c r="J332" s="36">
        <f>G332</f>
        <v>0</v>
      </c>
      <c r="K332" s="36">
        <f>K205</f>
        <v>-366</v>
      </c>
      <c r="L332" s="84" t="s">
        <v>86</v>
      </c>
      <c r="M332" s="120" t="s">
        <v>0</v>
      </c>
      <c r="N332" s="121">
        <f>N12</f>
        <v>0</v>
      </c>
      <c r="O332" s="121">
        <f>O12</f>
        <v>0</v>
      </c>
      <c r="P332" s="121" t="s">
        <v>121</v>
      </c>
      <c r="Q332" s="375"/>
      <c r="R332" s="121" t="s">
        <v>123</v>
      </c>
      <c r="S332" s="416"/>
      <c r="T332" s="283"/>
      <c r="U332" s="81"/>
      <c r="V332" s="82"/>
    </row>
    <row r="333" spans="1:22">
      <c r="A333" s="10">
        <v>1</v>
      </c>
      <c r="B333" s="329"/>
      <c r="C333" s="329"/>
      <c r="D333" s="327" t="s">
        <v>94</v>
      </c>
      <c r="E333" s="328"/>
      <c r="F333" s="328"/>
      <c r="G333" s="329"/>
      <c r="H333" s="329"/>
      <c r="I333" s="329"/>
      <c r="J333" s="329"/>
      <c r="K333" s="329"/>
      <c r="L333" s="329"/>
      <c r="M333" s="330"/>
      <c r="N333" s="330"/>
      <c r="O333" s="330"/>
      <c r="P333" s="330"/>
      <c r="Q333" s="330"/>
      <c r="R333" s="330"/>
      <c r="S333" s="331"/>
      <c r="T333" s="283"/>
      <c r="U333" s="87"/>
      <c r="V333" s="82"/>
    </row>
    <row r="334" spans="1:22">
      <c r="A334" s="10">
        <v>1</v>
      </c>
      <c r="B334" s="332"/>
      <c r="C334" s="332"/>
      <c r="D334" s="44" t="s">
        <v>87</v>
      </c>
      <c r="E334" s="45"/>
      <c r="F334" s="45"/>
      <c r="G334" s="332">
        <f>SUM(G335:G339)</f>
        <v>0</v>
      </c>
      <c r="H334" s="332"/>
      <c r="I334" s="332"/>
      <c r="J334" s="332">
        <f>SUM(J335:J339)</f>
        <v>0</v>
      </c>
      <c r="K334" s="332">
        <f>SUM(K335:K339)</f>
        <v>0</v>
      </c>
      <c r="L334" s="332">
        <f>SUM(L335:L339)</f>
        <v>0</v>
      </c>
      <c r="M334" s="333" t="e">
        <f t="shared" ref="M334:M373" si="223">L334/K334</f>
        <v>#DIV/0!</v>
      </c>
      <c r="N334" s="47"/>
      <c r="O334" s="47"/>
      <c r="P334" s="47"/>
      <c r="Q334" s="47"/>
      <c r="R334" s="47"/>
      <c r="S334" s="325"/>
      <c r="T334" s="283"/>
      <c r="U334" s="88"/>
      <c r="V334" s="89"/>
    </row>
    <row r="335" spans="1:22">
      <c r="A335" s="10">
        <v>1</v>
      </c>
      <c r="B335" s="55"/>
      <c r="C335" s="55"/>
      <c r="D335" s="50"/>
      <c r="E335" s="52"/>
      <c r="F335" s="52" t="s">
        <v>503</v>
      </c>
      <c r="G335" s="358"/>
      <c r="H335" s="358"/>
      <c r="I335" s="358"/>
      <c r="J335" s="55">
        <f t="shared" ref="J335:J340" si="224">G335+H335-I335</f>
        <v>0</v>
      </c>
      <c r="K335" s="358"/>
      <c r="L335" s="55">
        <f t="shared" ref="L335:L340" si="225">J335-K335</f>
        <v>0</v>
      </c>
      <c r="M335" s="56" t="e">
        <f t="shared" si="223"/>
        <v>#DIV/0!</v>
      </c>
      <c r="N335" s="123" t="e">
        <f t="shared" ref="N335:N340" si="226">G335/$N$12</f>
        <v>#DIV/0!</v>
      </c>
      <c r="O335" s="57" t="e">
        <f t="shared" ref="O335:O340" si="227">G335*12/CurMonths/$O$12</f>
        <v>#DIV/0!</v>
      </c>
      <c r="P335" s="124" t="e">
        <f t="shared" ref="P335:P351" si="228">IF(ABS(O335)&gt;100%,"O","X")</f>
        <v>#DIV/0!</v>
      </c>
      <c r="Q335" s="376"/>
      <c r="R335" s="124" t="e">
        <f t="shared" ref="R335:R339" si="229">IF(P335="O","O",IF(Q335="O","O","X"))</f>
        <v>#DIV/0!</v>
      </c>
      <c r="S335" s="129"/>
      <c r="T335" s="96"/>
      <c r="U335" s="112"/>
      <c r="V335" s="122"/>
    </row>
    <row r="336" spans="1:22">
      <c r="A336" s="10">
        <v>1</v>
      </c>
      <c r="B336" s="55"/>
      <c r="C336" s="55"/>
      <c r="D336" s="50"/>
      <c r="E336" s="52"/>
      <c r="F336" s="52" t="s">
        <v>504</v>
      </c>
      <c r="G336" s="358"/>
      <c r="H336" s="358"/>
      <c r="I336" s="358"/>
      <c r="J336" s="55">
        <f t="shared" si="224"/>
        <v>0</v>
      </c>
      <c r="K336" s="358"/>
      <c r="L336" s="55">
        <f t="shared" si="225"/>
        <v>0</v>
      </c>
      <c r="M336" s="56" t="e">
        <f t="shared" si="223"/>
        <v>#DIV/0!</v>
      </c>
      <c r="N336" s="123" t="e">
        <f t="shared" si="226"/>
        <v>#DIV/0!</v>
      </c>
      <c r="O336" s="57" t="e">
        <f t="shared" si="227"/>
        <v>#DIV/0!</v>
      </c>
      <c r="P336" s="124" t="e">
        <f t="shared" si="228"/>
        <v>#DIV/0!</v>
      </c>
      <c r="Q336" s="376"/>
      <c r="R336" s="124" t="e">
        <f t="shared" si="229"/>
        <v>#DIV/0!</v>
      </c>
      <c r="S336" s="133"/>
      <c r="T336" s="61"/>
      <c r="U336" s="29"/>
      <c r="V336" s="69"/>
    </row>
    <row r="337" spans="1:22">
      <c r="B337" s="55"/>
      <c r="C337" s="55"/>
      <c r="D337" s="50"/>
      <c r="E337" s="52"/>
      <c r="F337" s="52" t="s">
        <v>505</v>
      </c>
      <c r="G337" s="358"/>
      <c r="H337" s="358"/>
      <c r="I337" s="358"/>
      <c r="J337" s="55">
        <f t="shared" si="224"/>
        <v>0</v>
      </c>
      <c r="K337" s="358"/>
      <c r="L337" s="55">
        <f t="shared" ref="L337" si="230">J337-K337</f>
        <v>0</v>
      </c>
      <c r="M337" s="56" t="e">
        <f t="shared" ref="M337" si="231">L337/K337</f>
        <v>#DIV/0!</v>
      </c>
      <c r="N337" s="123" t="e">
        <f t="shared" si="226"/>
        <v>#DIV/0!</v>
      </c>
      <c r="O337" s="57" t="e">
        <f t="shared" si="227"/>
        <v>#DIV/0!</v>
      </c>
      <c r="P337" s="124" t="e">
        <f t="shared" ref="P337" si="232">IF(ABS(O337)&gt;100%,"O","X")</f>
        <v>#DIV/0!</v>
      </c>
      <c r="Q337" s="376"/>
      <c r="R337" s="124" t="e">
        <f t="shared" ref="R337" si="233">IF(P337="O","O",IF(Q337="O","O","X"))</f>
        <v>#DIV/0!</v>
      </c>
      <c r="S337" s="133"/>
      <c r="T337" s="61"/>
      <c r="U337" s="29"/>
      <c r="V337" s="69"/>
    </row>
    <row r="338" spans="1:22">
      <c r="B338" s="55"/>
      <c r="C338" s="55"/>
      <c r="D338" s="50"/>
      <c r="E338" s="52"/>
      <c r="F338" s="92" t="s">
        <v>506</v>
      </c>
      <c r="G338" s="358"/>
      <c r="H338" s="358"/>
      <c r="I338" s="358"/>
      <c r="J338" s="55">
        <f t="shared" si="224"/>
        <v>0</v>
      </c>
      <c r="K338" s="358"/>
      <c r="L338" s="55">
        <f t="shared" si="225"/>
        <v>0</v>
      </c>
      <c r="M338" s="56" t="e">
        <f t="shared" ref="M338" si="234">L338/K338</f>
        <v>#DIV/0!</v>
      </c>
      <c r="N338" s="123" t="e">
        <f t="shared" si="226"/>
        <v>#DIV/0!</v>
      </c>
      <c r="O338" s="57" t="e">
        <f t="shared" si="227"/>
        <v>#DIV/0!</v>
      </c>
      <c r="P338" s="124" t="e">
        <f t="shared" ref="P338" si="235">IF(ABS(O338)&gt;100%,"O","X")</f>
        <v>#DIV/0!</v>
      </c>
      <c r="Q338" s="376"/>
      <c r="R338" s="124"/>
      <c r="S338" s="94"/>
      <c r="T338" s="61"/>
      <c r="U338" s="29"/>
      <c r="V338" s="69"/>
    </row>
    <row r="339" spans="1:22">
      <c r="A339" s="10">
        <v>1</v>
      </c>
      <c r="B339" s="55"/>
      <c r="C339" s="55"/>
      <c r="D339" s="50"/>
      <c r="E339" s="52"/>
      <c r="F339" s="92" t="s">
        <v>507</v>
      </c>
      <c r="G339" s="358"/>
      <c r="H339" s="358"/>
      <c r="I339" s="358"/>
      <c r="J339" s="55">
        <f t="shared" si="224"/>
        <v>0</v>
      </c>
      <c r="K339" s="358"/>
      <c r="L339" s="55">
        <f t="shared" si="225"/>
        <v>0</v>
      </c>
      <c r="M339" s="56" t="e">
        <f t="shared" si="223"/>
        <v>#DIV/0!</v>
      </c>
      <c r="N339" s="123" t="e">
        <f t="shared" si="226"/>
        <v>#DIV/0!</v>
      </c>
      <c r="O339" s="57" t="e">
        <f t="shared" si="227"/>
        <v>#DIV/0!</v>
      </c>
      <c r="P339" s="124" t="e">
        <f t="shared" si="228"/>
        <v>#DIV/0!</v>
      </c>
      <c r="Q339" s="376"/>
      <c r="R339" s="124" t="e">
        <f t="shared" si="229"/>
        <v>#DIV/0!</v>
      </c>
      <c r="S339" s="94"/>
      <c r="T339" s="61"/>
      <c r="U339" s="125"/>
      <c r="V339" s="69"/>
    </row>
    <row r="340" spans="1:22">
      <c r="B340" s="332"/>
      <c r="C340" s="332"/>
      <c r="D340" s="44" t="s">
        <v>509</v>
      </c>
      <c r="E340" s="52"/>
      <c r="F340" s="92"/>
      <c r="G340" s="377"/>
      <c r="H340" s="377"/>
      <c r="I340" s="377"/>
      <c r="J340" s="332">
        <f t="shared" si="224"/>
        <v>0</v>
      </c>
      <c r="K340" s="377"/>
      <c r="L340" s="332">
        <f t="shared" si="225"/>
        <v>0</v>
      </c>
      <c r="M340" s="333" t="e">
        <f t="shared" si="223"/>
        <v>#DIV/0!</v>
      </c>
      <c r="N340" s="123" t="e">
        <f t="shared" si="226"/>
        <v>#DIV/0!</v>
      </c>
      <c r="O340" s="292" t="e">
        <f t="shared" si="227"/>
        <v>#DIV/0!</v>
      </c>
      <c r="P340" s="124" t="e">
        <f t="shared" si="228"/>
        <v>#DIV/0!</v>
      </c>
      <c r="Q340" s="376"/>
      <c r="R340" s="124"/>
      <c r="S340" s="94"/>
      <c r="T340" s="61"/>
      <c r="U340" s="125"/>
      <c r="V340" s="69"/>
    </row>
    <row r="341" spans="1:22">
      <c r="A341" s="10">
        <v>1</v>
      </c>
      <c r="B341" s="332"/>
      <c r="C341" s="332"/>
      <c r="D341" s="44" t="s">
        <v>84</v>
      </c>
      <c r="E341" s="45"/>
      <c r="F341" s="45"/>
      <c r="G341" s="332">
        <f>SUM(G342:G347)</f>
        <v>0</v>
      </c>
      <c r="H341" s="332"/>
      <c r="I341" s="332"/>
      <c r="J341" s="332">
        <f>SUM(J342:J347)</f>
        <v>0</v>
      </c>
      <c r="K341" s="332">
        <f>SUM(K342:K347)</f>
        <v>0</v>
      </c>
      <c r="L341" s="332">
        <f>SUM(L342:L344)</f>
        <v>0</v>
      </c>
      <c r="M341" s="333" t="e">
        <f t="shared" si="223"/>
        <v>#DIV/0!</v>
      </c>
      <c r="N341" s="47"/>
      <c r="O341" s="47"/>
      <c r="P341" s="47"/>
      <c r="Q341" s="47"/>
      <c r="R341" s="47"/>
      <c r="S341" s="94"/>
      <c r="T341" s="61"/>
      <c r="U341" s="48"/>
      <c r="V341" s="29"/>
    </row>
    <row r="342" spans="1:22">
      <c r="A342" s="10">
        <v>1</v>
      </c>
      <c r="B342" s="55"/>
      <c r="C342" s="55"/>
      <c r="D342" s="50"/>
      <c r="E342" s="52"/>
      <c r="F342" s="92" t="s">
        <v>215</v>
      </c>
      <c r="G342" s="358"/>
      <c r="H342" s="358"/>
      <c r="I342" s="358"/>
      <c r="J342" s="55">
        <f t="shared" ref="J342:J347" si="236">G342+H342-I342</f>
        <v>0</v>
      </c>
      <c r="K342" s="358"/>
      <c r="L342" s="55">
        <f t="shared" ref="L342:L344" si="237">J342-K342</f>
        <v>0</v>
      </c>
      <c r="M342" s="56" t="e">
        <f t="shared" si="223"/>
        <v>#DIV/0!</v>
      </c>
      <c r="N342" s="123" t="e">
        <f t="shared" ref="N342:N347" si="238">G342/$N$12</f>
        <v>#DIV/0!</v>
      </c>
      <c r="O342" s="57" t="e">
        <f t="shared" ref="O342:O347" si="239">G342*12/CurMonths/$O$12</f>
        <v>#DIV/0!</v>
      </c>
      <c r="P342" s="124" t="e">
        <f t="shared" si="228"/>
        <v>#DIV/0!</v>
      </c>
      <c r="Q342" s="376"/>
      <c r="R342" s="124" t="e">
        <f t="shared" ref="R342:R344" si="240">IF(P342="O","O",IF(Q342="O","O","X"))</f>
        <v>#DIV/0!</v>
      </c>
      <c r="S342" s="94"/>
      <c r="T342" s="61"/>
      <c r="U342" s="112"/>
      <c r="V342" s="61"/>
    </row>
    <row r="343" spans="1:22">
      <c r="A343" s="10">
        <v>1</v>
      </c>
      <c r="B343" s="55"/>
      <c r="C343" s="55"/>
      <c r="D343" s="50"/>
      <c r="E343" s="52"/>
      <c r="F343" s="92" t="s">
        <v>467</v>
      </c>
      <c r="G343" s="358"/>
      <c r="H343" s="358"/>
      <c r="I343" s="358"/>
      <c r="J343" s="55">
        <f t="shared" si="236"/>
        <v>0</v>
      </c>
      <c r="K343" s="358"/>
      <c r="L343" s="55">
        <f t="shared" si="237"/>
        <v>0</v>
      </c>
      <c r="M343" s="56" t="e">
        <f t="shared" si="223"/>
        <v>#DIV/0!</v>
      </c>
      <c r="N343" s="123" t="e">
        <f t="shared" si="238"/>
        <v>#DIV/0!</v>
      </c>
      <c r="O343" s="57" t="e">
        <f t="shared" si="239"/>
        <v>#DIV/0!</v>
      </c>
      <c r="P343" s="124" t="e">
        <f t="shared" si="228"/>
        <v>#DIV/0!</v>
      </c>
      <c r="Q343" s="376"/>
      <c r="R343" s="124" t="e">
        <f t="shared" si="240"/>
        <v>#DIV/0!</v>
      </c>
      <c r="S343" s="94"/>
      <c r="T343" s="61"/>
      <c r="U343" s="48"/>
      <c r="V343" s="126"/>
    </row>
    <row r="344" spans="1:22">
      <c r="B344" s="55"/>
      <c r="C344" s="55"/>
      <c r="D344" s="50"/>
      <c r="E344" s="52"/>
      <c r="F344" s="92" t="s">
        <v>468</v>
      </c>
      <c r="G344" s="358"/>
      <c r="H344" s="358"/>
      <c r="I344" s="358"/>
      <c r="J344" s="55">
        <f t="shared" si="236"/>
        <v>0</v>
      </c>
      <c r="K344" s="358"/>
      <c r="L344" s="55">
        <f t="shared" si="237"/>
        <v>0</v>
      </c>
      <c r="M344" s="56" t="e">
        <f t="shared" si="223"/>
        <v>#DIV/0!</v>
      </c>
      <c r="N344" s="123" t="e">
        <f t="shared" si="238"/>
        <v>#DIV/0!</v>
      </c>
      <c r="O344" s="57" t="e">
        <f t="shared" si="239"/>
        <v>#DIV/0!</v>
      </c>
      <c r="P344" s="124" t="e">
        <f t="shared" si="228"/>
        <v>#DIV/0!</v>
      </c>
      <c r="Q344" s="376"/>
      <c r="R344" s="124" t="e">
        <f t="shared" si="240"/>
        <v>#DIV/0!</v>
      </c>
      <c r="S344" s="133"/>
      <c r="T344" s="61"/>
      <c r="U344" s="48"/>
      <c r="V344" s="126"/>
    </row>
    <row r="345" spans="1:22">
      <c r="B345" s="55"/>
      <c r="C345" s="55"/>
      <c r="D345" s="50"/>
      <c r="E345" s="52"/>
      <c r="F345" s="92" t="s">
        <v>469</v>
      </c>
      <c r="G345" s="358"/>
      <c r="H345" s="358"/>
      <c r="I345" s="358"/>
      <c r="J345" s="55">
        <f t="shared" si="236"/>
        <v>0</v>
      </c>
      <c r="K345" s="358"/>
      <c r="L345" s="55">
        <f t="shared" ref="L345:L347" si="241">J345-K345</f>
        <v>0</v>
      </c>
      <c r="M345" s="56" t="e">
        <f t="shared" ref="M345:M347" si="242">L345/K345</f>
        <v>#DIV/0!</v>
      </c>
      <c r="N345" s="123" t="e">
        <f t="shared" si="238"/>
        <v>#DIV/0!</v>
      </c>
      <c r="O345" s="292" t="e">
        <f t="shared" si="239"/>
        <v>#DIV/0!</v>
      </c>
      <c r="P345" s="124" t="e">
        <f t="shared" ref="P345:P347" si="243">IF(ABS(O345)&gt;100%,"O","X")</f>
        <v>#DIV/0!</v>
      </c>
      <c r="Q345" s="376"/>
      <c r="R345" s="124" t="e">
        <f t="shared" ref="R345:R347" si="244">IF(P345="O","O",IF(Q345="O","O","X"))</f>
        <v>#DIV/0!</v>
      </c>
      <c r="S345" s="133"/>
      <c r="T345" s="61"/>
      <c r="U345" s="48"/>
      <c r="V345" s="126"/>
    </row>
    <row r="346" spans="1:22">
      <c r="B346" s="55"/>
      <c r="C346" s="55"/>
      <c r="D346" s="50"/>
      <c r="E346" s="52"/>
      <c r="F346" s="92" t="s">
        <v>71</v>
      </c>
      <c r="G346" s="358"/>
      <c r="H346" s="358"/>
      <c r="I346" s="358"/>
      <c r="J346" s="55">
        <f t="shared" si="236"/>
        <v>0</v>
      </c>
      <c r="K346" s="358"/>
      <c r="L346" s="55">
        <f t="shared" si="241"/>
        <v>0</v>
      </c>
      <c r="M346" s="56" t="e">
        <f t="shared" si="242"/>
        <v>#DIV/0!</v>
      </c>
      <c r="N346" s="123" t="e">
        <f t="shared" si="238"/>
        <v>#DIV/0!</v>
      </c>
      <c r="O346" s="292" t="e">
        <f t="shared" si="239"/>
        <v>#DIV/0!</v>
      </c>
      <c r="P346" s="124" t="e">
        <f t="shared" si="243"/>
        <v>#DIV/0!</v>
      </c>
      <c r="Q346" s="376"/>
      <c r="R346" s="124" t="e">
        <f t="shared" si="244"/>
        <v>#DIV/0!</v>
      </c>
      <c r="S346" s="133"/>
      <c r="T346" s="61"/>
      <c r="U346" s="48"/>
      <c r="V346" s="126"/>
    </row>
    <row r="347" spans="1:22">
      <c r="B347" s="55"/>
      <c r="C347" s="55"/>
      <c r="D347" s="50"/>
      <c r="E347" s="52"/>
      <c r="F347" s="92" t="s">
        <v>508</v>
      </c>
      <c r="G347" s="358"/>
      <c r="H347" s="358"/>
      <c r="I347" s="358"/>
      <c r="J347" s="55">
        <f t="shared" si="236"/>
        <v>0</v>
      </c>
      <c r="K347" s="358"/>
      <c r="L347" s="55">
        <f t="shared" si="241"/>
        <v>0</v>
      </c>
      <c r="M347" s="56" t="e">
        <f t="shared" si="242"/>
        <v>#DIV/0!</v>
      </c>
      <c r="N347" s="123" t="e">
        <f t="shared" si="238"/>
        <v>#DIV/0!</v>
      </c>
      <c r="O347" s="292" t="e">
        <f t="shared" si="239"/>
        <v>#DIV/0!</v>
      </c>
      <c r="P347" s="124" t="e">
        <f t="shared" si="243"/>
        <v>#DIV/0!</v>
      </c>
      <c r="Q347" s="376"/>
      <c r="R347" s="124" t="e">
        <f t="shared" si="244"/>
        <v>#DIV/0!</v>
      </c>
      <c r="S347" s="133"/>
      <c r="T347" s="61"/>
      <c r="U347" s="48"/>
      <c r="V347" s="126"/>
    </row>
    <row r="348" spans="1:22">
      <c r="A348" s="10">
        <v>1</v>
      </c>
      <c r="B348" s="332"/>
      <c r="C348" s="332"/>
      <c r="D348" s="44" t="s">
        <v>88</v>
      </c>
      <c r="E348" s="45"/>
      <c r="F348" s="45"/>
      <c r="G348" s="332">
        <f>SUM(G349:G367)</f>
        <v>0</v>
      </c>
      <c r="H348" s="332"/>
      <c r="I348" s="332"/>
      <c r="J348" s="332">
        <f>SUM(J349:J367)</f>
        <v>0</v>
      </c>
      <c r="K348" s="332">
        <f>SUM(K349:K367)</f>
        <v>0</v>
      </c>
      <c r="L348" s="332">
        <f>SUM(L349:L367)</f>
        <v>0</v>
      </c>
      <c r="M348" s="333" t="e">
        <f t="shared" si="223"/>
        <v>#DIV/0!</v>
      </c>
      <c r="N348" s="47"/>
      <c r="O348" s="47"/>
      <c r="P348" s="47"/>
      <c r="Q348" s="47"/>
      <c r="R348" s="47"/>
      <c r="S348" s="325"/>
      <c r="T348" s="282"/>
      <c r="U348" s="48"/>
      <c r="V348" s="72"/>
    </row>
    <row r="349" spans="1:22">
      <c r="A349" s="10">
        <v>1</v>
      </c>
      <c r="B349" s="55"/>
      <c r="C349" s="55"/>
      <c r="D349" s="50"/>
      <c r="E349" s="52"/>
      <c r="F349" s="92" t="s">
        <v>51</v>
      </c>
      <c r="G349" s="358"/>
      <c r="H349" s="358"/>
      <c r="I349" s="358"/>
      <c r="J349" s="55">
        <f t="shared" ref="J349:J367" si="245">G349+H349-I349</f>
        <v>0</v>
      </c>
      <c r="K349" s="358"/>
      <c r="L349" s="55">
        <f t="shared" ref="L349:L373" si="246">J349-K349</f>
        <v>0</v>
      </c>
      <c r="M349" s="56" t="e">
        <f t="shared" si="223"/>
        <v>#DIV/0!</v>
      </c>
      <c r="N349" s="123" t="e">
        <f t="shared" ref="N349:N367" si="247">G349/$N$12</f>
        <v>#DIV/0!</v>
      </c>
      <c r="O349" s="57" t="e">
        <f t="shared" ref="O349:O367" si="248">G349*12/CurMonths/$O$12</f>
        <v>#DIV/0!</v>
      </c>
      <c r="P349" s="124" t="e">
        <f t="shared" si="228"/>
        <v>#DIV/0!</v>
      </c>
      <c r="Q349" s="376"/>
      <c r="R349" s="124" t="e">
        <f t="shared" ref="R349:R351" si="249">IF(P349="O","O",IF(Q349="O","O","X"))</f>
        <v>#DIV/0!</v>
      </c>
      <c r="S349" s="94"/>
      <c r="T349" s="61"/>
      <c r="U349" s="112"/>
      <c r="V349" s="127"/>
    </row>
    <row r="350" spans="1:22">
      <c r="A350" s="10">
        <v>1</v>
      </c>
      <c r="B350" s="55"/>
      <c r="C350" s="55"/>
      <c r="D350" s="50"/>
      <c r="E350" s="52"/>
      <c r="F350" s="92" t="s">
        <v>42</v>
      </c>
      <c r="G350" s="358"/>
      <c r="H350" s="358"/>
      <c r="I350" s="358"/>
      <c r="J350" s="55">
        <f t="shared" si="245"/>
        <v>0</v>
      </c>
      <c r="K350" s="358"/>
      <c r="L350" s="55">
        <f t="shared" si="246"/>
        <v>0</v>
      </c>
      <c r="M350" s="56" t="e">
        <f t="shared" si="223"/>
        <v>#DIV/0!</v>
      </c>
      <c r="N350" s="123" t="e">
        <f t="shared" si="247"/>
        <v>#DIV/0!</v>
      </c>
      <c r="O350" s="57" t="e">
        <f t="shared" si="248"/>
        <v>#DIV/0!</v>
      </c>
      <c r="P350" s="124" t="e">
        <f t="shared" si="228"/>
        <v>#DIV/0!</v>
      </c>
      <c r="Q350" s="376"/>
      <c r="R350" s="124" t="e">
        <f t="shared" si="249"/>
        <v>#DIV/0!</v>
      </c>
      <c r="S350" s="94"/>
      <c r="T350" s="61"/>
      <c r="U350" s="48"/>
      <c r="V350" s="72"/>
    </row>
    <row r="351" spans="1:22">
      <c r="A351" s="10">
        <v>1</v>
      </c>
      <c r="B351" s="55"/>
      <c r="C351" s="55"/>
      <c r="D351" s="50"/>
      <c r="E351" s="52"/>
      <c r="F351" s="92" t="s">
        <v>44</v>
      </c>
      <c r="G351" s="358"/>
      <c r="H351" s="358"/>
      <c r="I351" s="358"/>
      <c r="J351" s="55">
        <f t="shared" si="245"/>
        <v>0</v>
      </c>
      <c r="K351" s="358"/>
      <c r="L351" s="55">
        <f t="shared" si="246"/>
        <v>0</v>
      </c>
      <c r="M351" s="56" t="e">
        <f t="shared" si="223"/>
        <v>#DIV/0!</v>
      </c>
      <c r="N351" s="123" t="e">
        <f t="shared" si="247"/>
        <v>#DIV/0!</v>
      </c>
      <c r="O351" s="57" t="e">
        <f t="shared" si="248"/>
        <v>#DIV/0!</v>
      </c>
      <c r="P351" s="124" t="e">
        <f t="shared" si="228"/>
        <v>#DIV/0!</v>
      </c>
      <c r="Q351" s="376"/>
      <c r="R351" s="124" t="e">
        <f t="shared" si="249"/>
        <v>#DIV/0!</v>
      </c>
      <c r="S351" s="94"/>
      <c r="T351" s="61"/>
      <c r="U351" s="48"/>
      <c r="V351" s="72"/>
    </row>
    <row r="352" spans="1:22">
      <c r="B352" s="55"/>
      <c r="C352" s="55"/>
      <c r="D352" s="50"/>
      <c r="E352" s="52"/>
      <c r="F352" s="92" t="s">
        <v>470</v>
      </c>
      <c r="G352" s="358"/>
      <c r="H352" s="358"/>
      <c r="I352" s="358"/>
      <c r="J352" s="55">
        <f t="shared" si="245"/>
        <v>0</v>
      </c>
      <c r="K352" s="358"/>
      <c r="L352" s="55">
        <f t="shared" si="246"/>
        <v>0</v>
      </c>
      <c r="M352" s="56" t="e">
        <f t="shared" ref="M352:M353" si="250">L352/K352</f>
        <v>#DIV/0!</v>
      </c>
      <c r="N352" s="123" t="e">
        <f t="shared" si="247"/>
        <v>#DIV/0!</v>
      </c>
      <c r="O352" s="57" t="e">
        <f t="shared" si="248"/>
        <v>#DIV/0!</v>
      </c>
      <c r="P352" s="124" t="e">
        <f t="shared" ref="P352:P353" si="251">IF(ABS(O352)&gt;100%,"O","X")</f>
        <v>#DIV/0!</v>
      </c>
      <c r="Q352" s="376"/>
      <c r="R352" s="124" t="e">
        <f t="shared" ref="R352:R353" si="252">IF(P352="O","O",IF(Q352="O","O","X"))</f>
        <v>#DIV/0!</v>
      </c>
      <c r="S352" s="94"/>
      <c r="T352" s="61"/>
      <c r="U352" s="48"/>
      <c r="V352" s="72"/>
    </row>
    <row r="353" spans="1:22">
      <c r="B353" s="55"/>
      <c r="C353" s="55"/>
      <c r="D353" s="50"/>
      <c r="E353" s="52"/>
      <c r="F353" s="92" t="s">
        <v>72</v>
      </c>
      <c r="G353" s="358"/>
      <c r="H353" s="358"/>
      <c r="I353" s="358"/>
      <c r="J353" s="55">
        <f t="shared" si="245"/>
        <v>0</v>
      </c>
      <c r="K353" s="358"/>
      <c r="L353" s="55">
        <f t="shared" si="246"/>
        <v>0</v>
      </c>
      <c r="M353" s="56" t="e">
        <f t="shared" si="250"/>
        <v>#DIV/0!</v>
      </c>
      <c r="N353" s="123" t="e">
        <f t="shared" si="247"/>
        <v>#DIV/0!</v>
      </c>
      <c r="O353" s="57" t="e">
        <f t="shared" si="248"/>
        <v>#DIV/0!</v>
      </c>
      <c r="P353" s="124" t="e">
        <f t="shared" si="251"/>
        <v>#DIV/0!</v>
      </c>
      <c r="Q353" s="376"/>
      <c r="R353" s="124" t="e">
        <f t="shared" si="252"/>
        <v>#DIV/0!</v>
      </c>
      <c r="S353" s="94"/>
      <c r="T353" s="61"/>
      <c r="U353" s="48"/>
      <c r="V353" s="72"/>
    </row>
    <row r="354" spans="1:22">
      <c r="B354" s="55"/>
      <c r="C354" s="55"/>
      <c r="D354" s="50"/>
      <c r="E354" s="52"/>
      <c r="F354" s="92" t="s">
        <v>146</v>
      </c>
      <c r="G354" s="358"/>
      <c r="H354" s="358"/>
      <c r="I354" s="358"/>
      <c r="J354" s="55">
        <f t="shared" si="245"/>
        <v>0</v>
      </c>
      <c r="K354" s="358"/>
      <c r="L354" s="55">
        <f t="shared" ref="L354:L367" si="253">J354-K354</f>
        <v>0</v>
      </c>
      <c r="M354" s="56" t="e">
        <f t="shared" ref="M354:M367" si="254">L354/K354</f>
        <v>#DIV/0!</v>
      </c>
      <c r="N354" s="123" t="e">
        <f t="shared" si="247"/>
        <v>#DIV/0!</v>
      </c>
      <c r="O354" s="57" t="e">
        <f t="shared" si="248"/>
        <v>#DIV/0!</v>
      </c>
      <c r="P354" s="124" t="e">
        <f t="shared" ref="P354:P367" si="255">IF(ABS(O354)&gt;100%,"O","X")</f>
        <v>#DIV/0!</v>
      </c>
      <c r="Q354" s="376"/>
      <c r="R354" s="124" t="e">
        <f t="shared" ref="R354:R367" si="256">IF(P354="O","O",IF(Q354="O","O","X"))</f>
        <v>#DIV/0!</v>
      </c>
      <c r="S354" s="94"/>
      <c r="T354" s="61"/>
      <c r="U354" s="48"/>
      <c r="V354" s="72"/>
    </row>
    <row r="355" spans="1:22">
      <c r="B355" s="55"/>
      <c r="C355" s="55"/>
      <c r="D355" s="50"/>
      <c r="E355" s="52"/>
      <c r="F355" s="92" t="s">
        <v>45</v>
      </c>
      <c r="G355" s="358"/>
      <c r="H355" s="358"/>
      <c r="I355" s="358"/>
      <c r="J355" s="55">
        <f t="shared" si="245"/>
        <v>0</v>
      </c>
      <c r="K355" s="358"/>
      <c r="L355" s="55">
        <f t="shared" si="253"/>
        <v>0</v>
      </c>
      <c r="M355" s="56" t="e">
        <f t="shared" si="254"/>
        <v>#DIV/0!</v>
      </c>
      <c r="N355" s="123" t="e">
        <f t="shared" si="247"/>
        <v>#DIV/0!</v>
      </c>
      <c r="O355" s="57" t="e">
        <f t="shared" si="248"/>
        <v>#DIV/0!</v>
      </c>
      <c r="P355" s="124" t="e">
        <f t="shared" si="255"/>
        <v>#DIV/0!</v>
      </c>
      <c r="Q355" s="376"/>
      <c r="R355" s="124" t="e">
        <f t="shared" si="256"/>
        <v>#DIV/0!</v>
      </c>
      <c r="S355" s="94"/>
      <c r="T355" s="61"/>
      <c r="U355" s="48"/>
      <c r="V355" s="72"/>
    </row>
    <row r="356" spans="1:22">
      <c r="B356" s="55"/>
      <c r="C356" s="55"/>
      <c r="D356" s="50"/>
      <c r="E356" s="52"/>
      <c r="F356" s="92" t="s">
        <v>53</v>
      </c>
      <c r="G356" s="358"/>
      <c r="H356" s="358"/>
      <c r="I356" s="358"/>
      <c r="J356" s="55">
        <f t="shared" si="245"/>
        <v>0</v>
      </c>
      <c r="K356" s="358"/>
      <c r="L356" s="55">
        <f t="shared" si="253"/>
        <v>0</v>
      </c>
      <c r="M356" s="56" t="e">
        <f t="shared" si="254"/>
        <v>#DIV/0!</v>
      </c>
      <c r="N356" s="123" t="e">
        <f t="shared" si="247"/>
        <v>#DIV/0!</v>
      </c>
      <c r="O356" s="57" t="e">
        <f t="shared" si="248"/>
        <v>#DIV/0!</v>
      </c>
      <c r="P356" s="124" t="e">
        <f t="shared" si="255"/>
        <v>#DIV/0!</v>
      </c>
      <c r="Q356" s="376"/>
      <c r="R356" s="124" t="e">
        <f t="shared" si="256"/>
        <v>#DIV/0!</v>
      </c>
      <c r="S356" s="94"/>
      <c r="T356" s="61"/>
      <c r="U356" s="48"/>
      <c r="V356" s="72"/>
    </row>
    <row r="357" spans="1:22">
      <c r="B357" s="55"/>
      <c r="C357" s="55"/>
      <c r="D357" s="50"/>
      <c r="E357" s="52"/>
      <c r="F357" s="92" t="s">
        <v>46</v>
      </c>
      <c r="G357" s="358"/>
      <c r="H357" s="358"/>
      <c r="I357" s="358"/>
      <c r="J357" s="55">
        <f t="shared" si="245"/>
        <v>0</v>
      </c>
      <c r="K357" s="358"/>
      <c r="L357" s="55">
        <f t="shared" si="253"/>
        <v>0</v>
      </c>
      <c r="M357" s="56" t="e">
        <f t="shared" si="254"/>
        <v>#DIV/0!</v>
      </c>
      <c r="N357" s="123" t="e">
        <f t="shared" si="247"/>
        <v>#DIV/0!</v>
      </c>
      <c r="O357" s="57" t="e">
        <f t="shared" si="248"/>
        <v>#DIV/0!</v>
      </c>
      <c r="P357" s="124" t="e">
        <f t="shared" si="255"/>
        <v>#DIV/0!</v>
      </c>
      <c r="Q357" s="376"/>
      <c r="R357" s="124" t="e">
        <f t="shared" si="256"/>
        <v>#DIV/0!</v>
      </c>
      <c r="S357" s="94"/>
      <c r="T357" s="61"/>
      <c r="U357" s="48"/>
      <c r="V357" s="72"/>
    </row>
    <row r="358" spans="1:22">
      <c r="B358" s="55"/>
      <c r="C358" s="55"/>
      <c r="D358" s="50"/>
      <c r="E358" s="52"/>
      <c r="F358" s="92" t="s">
        <v>54</v>
      </c>
      <c r="G358" s="358"/>
      <c r="H358" s="358"/>
      <c r="I358" s="358"/>
      <c r="J358" s="55">
        <f t="shared" si="245"/>
        <v>0</v>
      </c>
      <c r="K358" s="358"/>
      <c r="L358" s="55">
        <f t="shared" si="253"/>
        <v>0</v>
      </c>
      <c r="M358" s="56" t="e">
        <f t="shared" si="254"/>
        <v>#DIV/0!</v>
      </c>
      <c r="N358" s="123" t="e">
        <f t="shared" si="247"/>
        <v>#DIV/0!</v>
      </c>
      <c r="O358" s="57" t="e">
        <f t="shared" si="248"/>
        <v>#DIV/0!</v>
      </c>
      <c r="P358" s="124" t="e">
        <f t="shared" si="255"/>
        <v>#DIV/0!</v>
      </c>
      <c r="Q358" s="376"/>
      <c r="R358" s="124" t="e">
        <f t="shared" si="256"/>
        <v>#DIV/0!</v>
      </c>
      <c r="S358" s="94"/>
      <c r="T358" s="61"/>
      <c r="U358" s="48"/>
      <c r="V358" s="72"/>
    </row>
    <row r="359" spans="1:22">
      <c r="B359" s="55"/>
      <c r="C359" s="55"/>
      <c r="D359" s="50"/>
      <c r="E359" s="52"/>
      <c r="F359" s="92" t="s">
        <v>47</v>
      </c>
      <c r="G359" s="358"/>
      <c r="H359" s="358"/>
      <c r="I359" s="358"/>
      <c r="J359" s="55">
        <f t="shared" si="245"/>
        <v>0</v>
      </c>
      <c r="K359" s="358"/>
      <c r="L359" s="55">
        <f t="shared" si="253"/>
        <v>0</v>
      </c>
      <c r="M359" s="56" t="e">
        <f t="shared" si="254"/>
        <v>#DIV/0!</v>
      </c>
      <c r="N359" s="123" t="e">
        <f t="shared" si="247"/>
        <v>#DIV/0!</v>
      </c>
      <c r="O359" s="57" t="e">
        <f t="shared" si="248"/>
        <v>#DIV/0!</v>
      </c>
      <c r="P359" s="124" t="e">
        <f t="shared" si="255"/>
        <v>#DIV/0!</v>
      </c>
      <c r="Q359" s="376"/>
      <c r="R359" s="124" t="e">
        <f t="shared" si="256"/>
        <v>#DIV/0!</v>
      </c>
      <c r="S359" s="94"/>
      <c r="T359" s="61"/>
      <c r="U359" s="48"/>
      <c r="V359" s="72"/>
    </row>
    <row r="360" spans="1:22">
      <c r="B360" s="55"/>
      <c r="C360" s="55"/>
      <c r="D360" s="50"/>
      <c r="E360" s="52"/>
      <c r="F360" s="92" t="s">
        <v>48</v>
      </c>
      <c r="G360" s="358"/>
      <c r="H360" s="358"/>
      <c r="I360" s="358"/>
      <c r="J360" s="55">
        <f t="shared" si="245"/>
        <v>0</v>
      </c>
      <c r="K360" s="358"/>
      <c r="L360" s="55">
        <f t="shared" si="253"/>
        <v>0</v>
      </c>
      <c r="M360" s="56" t="e">
        <f t="shared" si="254"/>
        <v>#DIV/0!</v>
      </c>
      <c r="N360" s="123" t="e">
        <f t="shared" si="247"/>
        <v>#DIV/0!</v>
      </c>
      <c r="O360" s="57" t="e">
        <f t="shared" si="248"/>
        <v>#DIV/0!</v>
      </c>
      <c r="P360" s="124" t="e">
        <f t="shared" si="255"/>
        <v>#DIV/0!</v>
      </c>
      <c r="Q360" s="376"/>
      <c r="R360" s="124" t="e">
        <f t="shared" si="256"/>
        <v>#DIV/0!</v>
      </c>
      <c r="S360" s="94"/>
      <c r="T360" s="61"/>
      <c r="U360" s="48"/>
      <c r="V360" s="72"/>
    </row>
    <row r="361" spans="1:22">
      <c r="B361" s="55"/>
      <c r="C361" s="55"/>
      <c r="D361" s="50"/>
      <c r="E361" s="52"/>
      <c r="F361" s="92" t="s">
        <v>473</v>
      </c>
      <c r="G361" s="358"/>
      <c r="H361" s="358"/>
      <c r="I361" s="358"/>
      <c r="J361" s="55">
        <f t="shared" si="245"/>
        <v>0</v>
      </c>
      <c r="K361" s="358"/>
      <c r="L361" s="55">
        <f t="shared" si="253"/>
        <v>0</v>
      </c>
      <c r="M361" s="56" t="e">
        <f t="shared" si="254"/>
        <v>#DIV/0!</v>
      </c>
      <c r="N361" s="123" t="e">
        <f t="shared" si="247"/>
        <v>#DIV/0!</v>
      </c>
      <c r="O361" s="57" t="e">
        <f t="shared" si="248"/>
        <v>#DIV/0!</v>
      </c>
      <c r="P361" s="124" t="e">
        <f t="shared" si="255"/>
        <v>#DIV/0!</v>
      </c>
      <c r="Q361" s="376"/>
      <c r="R361" s="124" t="e">
        <f t="shared" si="256"/>
        <v>#DIV/0!</v>
      </c>
      <c r="S361" s="94"/>
      <c r="T361" s="61"/>
      <c r="U361" s="48"/>
      <c r="V361" s="72"/>
    </row>
    <row r="362" spans="1:22">
      <c r="B362" s="55"/>
      <c r="C362" s="55"/>
      <c r="D362" s="50"/>
      <c r="E362" s="52"/>
      <c r="F362" s="92" t="s">
        <v>52</v>
      </c>
      <c r="G362" s="358"/>
      <c r="H362" s="358"/>
      <c r="I362" s="358"/>
      <c r="J362" s="55">
        <f t="shared" si="245"/>
        <v>0</v>
      </c>
      <c r="K362" s="358"/>
      <c r="L362" s="55">
        <f t="shared" si="253"/>
        <v>0</v>
      </c>
      <c r="M362" s="56" t="e">
        <f t="shared" si="254"/>
        <v>#DIV/0!</v>
      </c>
      <c r="N362" s="123" t="e">
        <f t="shared" si="247"/>
        <v>#DIV/0!</v>
      </c>
      <c r="O362" s="57" t="e">
        <f t="shared" si="248"/>
        <v>#DIV/0!</v>
      </c>
      <c r="P362" s="124" t="e">
        <f t="shared" si="255"/>
        <v>#DIV/0!</v>
      </c>
      <c r="Q362" s="376"/>
      <c r="R362" s="124" t="e">
        <f t="shared" si="256"/>
        <v>#DIV/0!</v>
      </c>
      <c r="S362" s="94"/>
      <c r="T362" s="61"/>
      <c r="U362" s="48"/>
      <c r="V362" s="72"/>
    </row>
    <row r="363" spans="1:22">
      <c r="B363" s="55"/>
      <c r="C363" s="55"/>
      <c r="D363" s="50"/>
      <c r="E363" s="52"/>
      <c r="F363" s="92" t="s">
        <v>49</v>
      </c>
      <c r="G363" s="358"/>
      <c r="H363" s="358"/>
      <c r="I363" s="358"/>
      <c r="J363" s="55">
        <f t="shared" si="245"/>
        <v>0</v>
      </c>
      <c r="K363" s="358"/>
      <c r="L363" s="55">
        <f t="shared" si="253"/>
        <v>0</v>
      </c>
      <c r="M363" s="56" t="e">
        <f t="shared" si="254"/>
        <v>#DIV/0!</v>
      </c>
      <c r="N363" s="123" t="e">
        <f t="shared" si="247"/>
        <v>#DIV/0!</v>
      </c>
      <c r="O363" s="57" t="e">
        <f t="shared" si="248"/>
        <v>#DIV/0!</v>
      </c>
      <c r="P363" s="124" t="e">
        <f t="shared" si="255"/>
        <v>#DIV/0!</v>
      </c>
      <c r="Q363" s="376"/>
      <c r="R363" s="124" t="e">
        <f t="shared" si="256"/>
        <v>#DIV/0!</v>
      </c>
      <c r="S363" s="94"/>
      <c r="T363" s="61"/>
      <c r="U363" s="48"/>
      <c r="V363" s="72"/>
    </row>
    <row r="364" spans="1:22">
      <c r="B364" s="55"/>
      <c r="C364" s="55"/>
      <c r="D364" s="50"/>
      <c r="E364" s="52"/>
      <c r="F364" s="92" t="s">
        <v>147</v>
      </c>
      <c r="G364" s="358"/>
      <c r="H364" s="358"/>
      <c r="I364" s="358"/>
      <c r="J364" s="55">
        <f t="shared" si="245"/>
        <v>0</v>
      </c>
      <c r="K364" s="358"/>
      <c r="L364" s="55">
        <f t="shared" si="253"/>
        <v>0</v>
      </c>
      <c r="M364" s="56" t="e">
        <f t="shared" si="254"/>
        <v>#DIV/0!</v>
      </c>
      <c r="N364" s="123" t="e">
        <f t="shared" si="247"/>
        <v>#DIV/0!</v>
      </c>
      <c r="O364" s="57" t="e">
        <f t="shared" si="248"/>
        <v>#DIV/0!</v>
      </c>
      <c r="P364" s="124" t="e">
        <f t="shared" si="255"/>
        <v>#DIV/0!</v>
      </c>
      <c r="Q364" s="376"/>
      <c r="R364" s="124" t="e">
        <f t="shared" si="256"/>
        <v>#DIV/0!</v>
      </c>
      <c r="S364" s="94"/>
      <c r="T364" s="61"/>
      <c r="U364" s="48"/>
      <c r="V364" s="72"/>
    </row>
    <row r="365" spans="1:22">
      <c r="B365" s="55"/>
      <c r="C365" s="55"/>
      <c r="D365" s="50"/>
      <c r="E365" s="52"/>
      <c r="F365" s="92" t="s">
        <v>510</v>
      </c>
      <c r="G365" s="358"/>
      <c r="H365" s="358"/>
      <c r="I365" s="358"/>
      <c r="J365" s="55">
        <f t="shared" si="245"/>
        <v>0</v>
      </c>
      <c r="K365" s="358"/>
      <c r="L365" s="55">
        <f t="shared" si="253"/>
        <v>0</v>
      </c>
      <c r="M365" s="56" t="e">
        <f t="shared" si="254"/>
        <v>#DIV/0!</v>
      </c>
      <c r="N365" s="123" t="e">
        <f t="shared" si="247"/>
        <v>#DIV/0!</v>
      </c>
      <c r="O365" s="57" t="e">
        <f t="shared" si="248"/>
        <v>#DIV/0!</v>
      </c>
      <c r="P365" s="124" t="e">
        <f t="shared" si="255"/>
        <v>#DIV/0!</v>
      </c>
      <c r="Q365" s="376"/>
      <c r="R365" s="124" t="e">
        <f t="shared" si="256"/>
        <v>#DIV/0!</v>
      </c>
      <c r="S365" s="94"/>
      <c r="T365" s="61"/>
      <c r="U365" s="48"/>
      <c r="V365" s="72"/>
    </row>
    <row r="366" spans="1:22">
      <c r="B366" s="55"/>
      <c r="C366" s="55"/>
      <c r="D366" s="50"/>
      <c r="E366" s="52"/>
      <c r="F366" s="92" t="s">
        <v>511</v>
      </c>
      <c r="G366" s="358"/>
      <c r="H366" s="358"/>
      <c r="I366" s="358"/>
      <c r="J366" s="55">
        <f t="shared" si="245"/>
        <v>0</v>
      </c>
      <c r="K366" s="358"/>
      <c r="L366" s="55">
        <f t="shared" si="253"/>
        <v>0</v>
      </c>
      <c r="M366" s="56" t="e">
        <f t="shared" si="254"/>
        <v>#DIV/0!</v>
      </c>
      <c r="N366" s="123" t="e">
        <f t="shared" si="247"/>
        <v>#DIV/0!</v>
      </c>
      <c r="O366" s="57" t="e">
        <f t="shared" si="248"/>
        <v>#DIV/0!</v>
      </c>
      <c r="P366" s="124" t="e">
        <f t="shared" si="255"/>
        <v>#DIV/0!</v>
      </c>
      <c r="Q366" s="376"/>
      <c r="R366" s="124" t="e">
        <f t="shared" si="256"/>
        <v>#DIV/0!</v>
      </c>
      <c r="S366" s="94"/>
      <c r="T366" s="61"/>
      <c r="U366" s="48"/>
      <c r="V366" s="72"/>
    </row>
    <row r="367" spans="1:22">
      <c r="B367" s="55"/>
      <c r="C367" s="55"/>
      <c r="D367" s="50"/>
      <c r="E367" s="52"/>
      <c r="F367" s="92" t="s">
        <v>107</v>
      </c>
      <c r="G367" s="358"/>
      <c r="H367" s="358"/>
      <c r="I367" s="358"/>
      <c r="J367" s="55">
        <f t="shared" si="245"/>
        <v>0</v>
      </c>
      <c r="K367" s="358"/>
      <c r="L367" s="55">
        <f t="shared" si="253"/>
        <v>0</v>
      </c>
      <c r="M367" s="56" t="e">
        <f t="shared" si="254"/>
        <v>#DIV/0!</v>
      </c>
      <c r="N367" s="123" t="e">
        <f t="shared" si="247"/>
        <v>#DIV/0!</v>
      </c>
      <c r="O367" s="57" t="e">
        <f t="shared" si="248"/>
        <v>#DIV/0!</v>
      </c>
      <c r="P367" s="124" t="e">
        <f t="shared" si="255"/>
        <v>#DIV/0!</v>
      </c>
      <c r="Q367" s="376"/>
      <c r="R367" s="124" t="e">
        <f t="shared" si="256"/>
        <v>#DIV/0!</v>
      </c>
      <c r="S367" s="94"/>
      <c r="T367" s="61"/>
      <c r="U367" s="48"/>
      <c r="V367" s="72"/>
    </row>
    <row r="368" spans="1:22">
      <c r="A368" s="10">
        <v>1</v>
      </c>
      <c r="B368" s="332"/>
      <c r="C368" s="332"/>
      <c r="D368" s="44" t="s">
        <v>89</v>
      </c>
      <c r="E368" s="45"/>
      <c r="F368" s="45"/>
      <c r="G368" s="332">
        <f>G334+G341+G348</f>
        <v>0</v>
      </c>
      <c r="H368" s="332"/>
      <c r="I368" s="332"/>
      <c r="J368" s="332">
        <f>J334+J341+J348</f>
        <v>0</v>
      </c>
      <c r="K368" s="332">
        <f>K334+K341+K348</f>
        <v>0</v>
      </c>
      <c r="L368" s="332">
        <f t="shared" si="246"/>
        <v>0</v>
      </c>
      <c r="M368" s="333" t="e">
        <f t="shared" si="223"/>
        <v>#DIV/0!</v>
      </c>
      <c r="N368" s="47"/>
      <c r="O368" s="47"/>
      <c r="P368" s="47"/>
      <c r="Q368" s="47"/>
      <c r="R368" s="47"/>
      <c r="S368" s="325"/>
      <c r="T368" s="282"/>
      <c r="U368" s="77"/>
      <c r="V368" s="11"/>
    </row>
    <row r="369" spans="1:22">
      <c r="A369" s="10">
        <v>1</v>
      </c>
      <c r="B369" s="51"/>
      <c r="C369" s="51"/>
      <c r="D369" s="44" t="s">
        <v>90</v>
      </c>
      <c r="E369" s="45"/>
      <c r="F369" s="45"/>
      <c r="G369" s="368"/>
      <c r="H369" s="368"/>
      <c r="I369" s="368"/>
      <c r="J369" s="65">
        <f>G369+H369-I369</f>
        <v>0</v>
      </c>
      <c r="K369" s="368"/>
      <c r="L369" s="65">
        <f t="shared" si="246"/>
        <v>0</v>
      </c>
      <c r="M369" s="47" t="e">
        <f t="shared" si="223"/>
        <v>#DIV/0!</v>
      </c>
      <c r="N369" s="47"/>
      <c r="O369" s="47"/>
      <c r="P369" s="47"/>
      <c r="Q369" s="378"/>
      <c r="R369" s="47"/>
      <c r="S369" s="325"/>
      <c r="T369" s="282"/>
      <c r="U369" s="128"/>
      <c r="V369" s="6"/>
    </row>
    <row r="370" spans="1:22">
      <c r="B370" s="51"/>
      <c r="C370" s="51"/>
      <c r="D370" s="44" t="s">
        <v>99</v>
      </c>
      <c r="E370" s="45"/>
      <c r="F370" s="45"/>
      <c r="G370" s="368"/>
      <c r="H370" s="368"/>
      <c r="I370" s="368"/>
      <c r="J370" s="65">
        <f t="shared" ref="J370" si="257">G370+H370-I370</f>
        <v>0</v>
      </c>
      <c r="K370" s="368"/>
      <c r="L370" s="65">
        <f t="shared" ref="L370" si="258">J370-K370</f>
        <v>0</v>
      </c>
      <c r="M370" s="47" t="e">
        <f t="shared" si="223"/>
        <v>#DIV/0!</v>
      </c>
      <c r="N370" s="47" t="e">
        <f>G370/$N$12</f>
        <v>#DIV/0!</v>
      </c>
      <c r="O370" s="47" t="e">
        <f>G370*12/CurMonths/$O$12</f>
        <v>#DIV/0!</v>
      </c>
      <c r="P370" s="47" t="e">
        <f t="shared" ref="P370" si="259">IF(ABS(O370)&gt;100%,"O","X")</f>
        <v>#DIV/0!</v>
      </c>
      <c r="Q370" s="378"/>
      <c r="R370" s="47" t="e">
        <f t="shared" ref="R370" si="260">IF(P370="O","O",IF(Q370="O","O","X"))</f>
        <v>#DIV/0!</v>
      </c>
      <c r="S370" s="325"/>
      <c r="T370" s="282"/>
      <c r="U370" s="128"/>
      <c r="V370" s="6"/>
    </row>
    <row r="371" spans="1:22">
      <c r="A371" s="10">
        <v>1</v>
      </c>
      <c r="B371" s="65"/>
      <c r="C371" s="65"/>
      <c r="D371" s="44" t="s">
        <v>91</v>
      </c>
      <c r="E371" s="45"/>
      <c r="F371" s="45"/>
      <c r="G371" s="372"/>
      <c r="H371" s="372"/>
      <c r="I371" s="372"/>
      <c r="J371" s="65">
        <f>G371+H371-I371</f>
        <v>0</v>
      </c>
      <c r="K371" s="372"/>
      <c r="L371" s="65">
        <f t="shared" si="246"/>
        <v>0</v>
      </c>
      <c r="M371" s="47" t="e">
        <f t="shared" si="223"/>
        <v>#DIV/0!</v>
      </c>
      <c r="N371" s="47"/>
      <c r="O371" s="47"/>
      <c r="P371" s="47"/>
      <c r="Q371" s="378"/>
      <c r="R371" s="47"/>
      <c r="S371" s="325"/>
      <c r="T371" s="282"/>
      <c r="U371" s="128"/>
      <c r="V371" s="11"/>
    </row>
    <row r="372" spans="1:22">
      <c r="A372" s="10">
        <v>1</v>
      </c>
      <c r="B372" s="51"/>
      <c r="C372" s="51"/>
      <c r="D372" s="44" t="s">
        <v>512</v>
      </c>
      <c r="E372" s="45"/>
      <c r="F372" s="45"/>
      <c r="G372" s="368"/>
      <c r="H372" s="368"/>
      <c r="I372" s="368"/>
      <c r="J372" s="55">
        <f>G372+H372-I372</f>
        <v>0</v>
      </c>
      <c r="K372" s="368"/>
      <c r="L372" s="65">
        <f t="shared" si="246"/>
        <v>0</v>
      </c>
      <c r="M372" s="47" t="e">
        <f t="shared" si="223"/>
        <v>#DIV/0!</v>
      </c>
      <c r="N372" s="123" t="e">
        <f>G372/$N$12</f>
        <v>#DIV/0!</v>
      </c>
      <c r="O372" s="57" t="e">
        <f>G372*12/CurMonths/$O$12</f>
        <v>#DIV/0!</v>
      </c>
      <c r="P372" s="124" t="e">
        <f t="shared" ref="P372" si="261">IF(ABS(O372)&gt;100%,"O","X")</f>
        <v>#DIV/0!</v>
      </c>
      <c r="Q372" s="376"/>
      <c r="R372" s="124" t="e">
        <f t="shared" ref="R372" si="262">IF(P372="O","O",IF(Q372="O","O","X"))</f>
        <v>#DIV/0!</v>
      </c>
      <c r="S372" s="325"/>
      <c r="T372" s="282"/>
      <c r="U372" s="128"/>
      <c r="V372" s="11"/>
    </row>
    <row r="373" spans="1:22">
      <c r="B373" s="332"/>
      <c r="C373" s="332"/>
      <c r="D373" s="44" t="s">
        <v>92</v>
      </c>
      <c r="E373" s="45"/>
      <c r="F373" s="45"/>
      <c r="G373" s="332">
        <f>SUM(G368:G372)</f>
        <v>0</v>
      </c>
      <c r="H373" s="332"/>
      <c r="I373" s="332"/>
      <c r="J373" s="332">
        <f>SUM(J368:J372)</f>
        <v>0</v>
      </c>
      <c r="K373" s="332">
        <f>SUM(K368:K372)</f>
        <v>0</v>
      </c>
      <c r="L373" s="332">
        <f t="shared" si="246"/>
        <v>0</v>
      </c>
      <c r="M373" s="333" t="e">
        <f t="shared" si="223"/>
        <v>#DIV/0!</v>
      </c>
      <c r="N373" s="47"/>
      <c r="O373" s="47"/>
      <c r="P373" s="47"/>
      <c r="Q373" s="47"/>
      <c r="R373" s="47"/>
      <c r="S373" s="325"/>
      <c r="T373" s="282"/>
      <c r="U373" s="128"/>
      <c r="V373" s="29"/>
    </row>
    <row r="374" spans="1:22">
      <c r="A374" s="10">
        <v>1</v>
      </c>
      <c r="B374" s="74"/>
      <c r="C374" s="74"/>
      <c r="D374" s="74"/>
      <c r="E374" s="74"/>
      <c r="F374" s="74"/>
      <c r="G374" s="74" t="b">
        <f>G373=G220</f>
        <v>1</v>
      </c>
      <c r="H374" s="74">
        <f>SUM(H334:H373)</f>
        <v>0</v>
      </c>
      <c r="I374" s="74">
        <f>SUM(I334:I373)</f>
        <v>0</v>
      </c>
      <c r="J374" s="74" t="b">
        <f>J373=J220</f>
        <v>1</v>
      </c>
      <c r="K374" s="29" t="b">
        <f>K373=K220</f>
        <v>1</v>
      </c>
      <c r="L374" s="29"/>
      <c r="M374" s="74" t="b">
        <f>G220=G373</f>
        <v>1</v>
      </c>
      <c r="N374" s="74" t="b">
        <f>K220=K373</f>
        <v>1</v>
      </c>
      <c r="O374" s="74"/>
      <c r="P374" s="74"/>
      <c r="Q374" s="74"/>
      <c r="R374" s="74"/>
      <c r="S374" s="74"/>
      <c r="T374" s="74"/>
      <c r="U374" s="128"/>
      <c r="V374" s="11"/>
    </row>
    <row r="375" spans="1:22">
      <c r="B375" s="74"/>
      <c r="C375" s="74"/>
      <c r="D375" s="74"/>
      <c r="E375" s="74"/>
      <c r="F375" s="74"/>
      <c r="G375" s="74"/>
      <c r="H375" s="74"/>
      <c r="I375" s="74"/>
      <c r="J375" s="74"/>
      <c r="K375" s="29"/>
      <c r="L375" s="29"/>
      <c r="M375" s="74"/>
      <c r="N375" s="74"/>
      <c r="O375" s="74"/>
      <c r="P375" s="74"/>
      <c r="Q375" s="74"/>
      <c r="R375" s="74"/>
      <c r="S375" s="74"/>
      <c r="T375" s="74"/>
      <c r="U375" s="128"/>
      <c r="V375" s="11"/>
    </row>
    <row r="376" spans="1:22">
      <c r="A376" s="10">
        <v>1</v>
      </c>
      <c r="D376" s="5" t="s">
        <v>260</v>
      </c>
      <c r="J376" s="225"/>
      <c r="K376" s="225"/>
      <c r="L376" s="225"/>
      <c r="M376" s="226"/>
      <c r="N376" s="226"/>
      <c r="O376" s="226"/>
      <c r="P376" s="226"/>
      <c r="Q376" s="29"/>
      <c r="R376" s="29"/>
      <c r="S376" s="29"/>
      <c r="T376" s="29"/>
      <c r="U376" s="29"/>
      <c r="V376" s="29"/>
    </row>
    <row r="377" spans="1:22">
      <c r="A377" s="10">
        <v>1</v>
      </c>
      <c r="B377" s="227"/>
      <c r="C377" s="227"/>
      <c r="E377" s="227" t="s">
        <v>261</v>
      </c>
      <c r="F377" s="227"/>
      <c r="G377" s="227"/>
      <c r="H377" s="227"/>
      <c r="I377" s="227"/>
      <c r="J377" s="116"/>
      <c r="K377" s="116"/>
      <c r="L377" s="226"/>
      <c r="M377" s="226"/>
      <c r="N377" s="226"/>
      <c r="O377" s="226"/>
      <c r="P377" s="226"/>
      <c r="Q377" s="29"/>
      <c r="R377" s="29"/>
      <c r="S377" s="29"/>
      <c r="T377" s="29"/>
      <c r="U377" s="29"/>
      <c r="V377" s="29"/>
    </row>
    <row r="378" spans="1:22">
      <c r="A378" s="10">
        <v>1</v>
      </c>
      <c r="B378" s="229"/>
      <c r="C378" s="229"/>
      <c r="E378" s="227"/>
      <c r="F378" s="228" t="s">
        <v>262</v>
      </c>
      <c r="G378" s="241">
        <f>$J$12</f>
        <v>0</v>
      </c>
      <c r="H378" s="241">
        <f>$K$12</f>
        <v>0</v>
      </c>
      <c r="I378" s="229" t="s">
        <v>263</v>
      </c>
      <c r="J378" s="230"/>
      <c r="K378" s="407"/>
      <c r="L378" s="407"/>
      <c r="M378" s="29"/>
      <c r="N378" s="226"/>
      <c r="O378" s="226"/>
      <c r="P378" s="226"/>
      <c r="Q378" s="29"/>
      <c r="R378" s="29"/>
      <c r="S378" s="29"/>
      <c r="T378" s="29"/>
      <c r="U378" s="29"/>
      <c r="V378" s="29"/>
    </row>
    <row r="379" spans="1:22">
      <c r="A379" s="10">
        <v>1</v>
      </c>
      <c r="B379" s="233"/>
      <c r="C379" s="233"/>
      <c r="E379" s="227"/>
      <c r="F379" s="231" t="s">
        <v>264</v>
      </c>
      <c r="G379" s="232" t="e">
        <f>(J207*12/CurMonths)/J107</f>
        <v>#DIV/0!</v>
      </c>
      <c r="H379" s="232" t="e">
        <f>(K207*12/PriorMonths)/K107</f>
        <v>#DIV/0!</v>
      </c>
      <c r="I379" s="233" t="e">
        <f>G379-H379</f>
        <v>#DIV/0!</v>
      </c>
      <c r="J379" s="234"/>
      <c r="K379" s="284"/>
      <c r="L379" s="285"/>
      <c r="M379" s="29"/>
      <c r="N379" s="235"/>
      <c r="O379" s="226"/>
      <c r="P379" s="226"/>
      <c r="Q379" s="29"/>
      <c r="R379" s="29"/>
      <c r="S379" s="29"/>
      <c r="T379" s="29"/>
      <c r="U379" s="29"/>
      <c r="V379" s="29"/>
    </row>
    <row r="380" spans="1:22">
      <c r="A380" s="10">
        <v>1</v>
      </c>
      <c r="B380" s="233"/>
      <c r="C380" s="233"/>
      <c r="E380" s="227"/>
      <c r="F380" s="231" t="s">
        <v>265</v>
      </c>
      <c r="G380" s="232" t="e">
        <f>(J207*12/CurMonths)/J200</f>
        <v>#DIV/0!</v>
      </c>
      <c r="H380" s="232" t="e">
        <f>(K207*12/PriorMonths)/K200</f>
        <v>#DIV/0!</v>
      </c>
      <c r="I380" s="233" t="e">
        <f>G380-H380</f>
        <v>#DIV/0!</v>
      </c>
      <c r="J380" s="234"/>
      <c r="K380" s="284"/>
      <c r="L380" s="285"/>
      <c r="M380" s="29"/>
      <c r="N380" s="235"/>
      <c r="O380" s="226"/>
      <c r="P380" s="226"/>
      <c r="Q380" s="29"/>
      <c r="R380" s="29"/>
      <c r="S380" s="29"/>
      <c r="T380" s="29"/>
      <c r="U380" s="29"/>
      <c r="V380" s="29"/>
    </row>
    <row r="381" spans="1:22">
      <c r="A381" s="10">
        <v>1</v>
      </c>
      <c r="F381" s="10" t="s">
        <v>266</v>
      </c>
      <c r="J381" s="226"/>
      <c r="K381" s="29"/>
      <c r="L381" s="29"/>
      <c r="M381" s="235"/>
      <c r="N381" s="235"/>
      <c r="O381" s="226"/>
      <c r="P381" s="226"/>
      <c r="Q381" s="29"/>
      <c r="R381" s="29"/>
      <c r="S381" s="29"/>
      <c r="T381" s="29"/>
      <c r="U381" s="29"/>
      <c r="V381" s="29"/>
    </row>
    <row r="382" spans="1:22">
      <c r="A382" s="10">
        <v>1</v>
      </c>
      <c r="J382" s="226"/>
      <c r="L382" s="285"/>
      <c r="M382" s="235"/>
      <c r="N382" s="235"/>
      <c r="O382" s="226"/>
      <c r="P382" s="226"/>
      <c r="Q382" s="29"/>
      <c r="R382" s="29"/>
      <c r="S382" s="29"/>
      <c r="T382" s="29"/>
      <c r="U382" s="29"/>
      <c r="V382" s="29"/>
    </row>
    <row r="383" spans="1:22">
      <c r="A383" s="10">
        <v>1</v>
      </c>
      <c r="J383" s="226"/>
      <c r="K383" s="226"/>
      <c r="L383" s="235"/>
      <c r="M383" s="235"/>
      <c r="N383" s="235"/>
      <c r="O383" s="226"/>
      <c r="P383" s="226"/>
      <c r="Q383" s="29"/>
      <c r="R383" s="29"/>
      <c r="S383" s="29"/>
      <c r="T383" s="29"/>
      <c r="U383" s="29"/>
      <c r="V383" s="29"/>
    </row>
    <row r="384" spans="1:22">
      <c r="A384" s="10">
        <v>1</v>
      </c>
      <c r="B384" s="227"/>
      <c r="C384" s="227"/>
      <c r="E384" s="227" t="s">
        <v>267</v>
      </c>
      <c r="F384" s="227"/>
      <c r="G384" s="227"/>
      <c r="H384" s="227"/>
      <c r="I384" s="227"/>
      <c r="J384" s="116"/>
      <c r="K384" s="230">
        <f>J378</f>
        <v>0</v>
      </c>
      <c r="L384" s="235"/>
      <c r="M384" s="235"/>
      <c r="N384" s="235"/>
      <c r="O384" s="226"/>
      <c r="P384" s="226"/>
      <c r="Q384" s="29"/>
      <c r="R384" s="29"/>
      <c r="S384" s="29"/>
      <c r="T384" s="29"/>
      <c r="U384" s="29"/>
      <c r="V384" s="29"/>
    </row>
    <row r="385" spans="1:22">
      <c r="A385" s="10">
        <v>1</v>
      </c>
      <c r="B385" s="229"/>
      <c r="C385" s="229"/>
      <c r="E385" s="227"/>
      <c r="F385" s="228" t="s">
        <v>262</v>
      </c>
      <c r="G385" s="241">
        <f>G378</f>
        <v>0</v>
      </c>
      <c r="H385" s="241">
        <f>H378</f>
        <v>0</v>
      </c>
      <c r="I385" s="229" t="str">
        <f>I378</f>
        <v>증감</v>
      </c>
      <c r="K385" s="230"/>
      <c r="L385" s="230">
        <f>L378</f>
        <v>0</v>
      </c>
      <c r="M385" s="29"/>
      <c r="N385" s="235"/>
      <c r="O385" s="226"/>
      <c r="P385" s="226"/>
      <c r="Q385" s="29"/>
      <c r="R385" s="29"/>
      <c r="S385" s="29"/>
      <c r="T385" s="29"/>
      <c r="U385" s="29"/>
      <c r="V385" s="29"/>
    </row>
    <row r="386" spans="1:22">
      <c r="A386" s="10">
        <v>1</v>
      </c>
      <c r="B386" s="237"/>
      <c r="C386" s="237"/>
      <c r="E386" s="227"/>
      <c r="F386" s="231" t="s">
        <v>268</v>
      </c>
      <c r="G386" s="236" t="e">
        <f>J14/J108</f>
        <v>#DIV/0!</v>
      </c>
      <c r="H386" s="236" t="e">
        <f>K14/K108</f>
        <v>#DIV/0!</v>
      </c>
      <c r="I386" s="237" t="e">
        <f>G386-H386</f>
        <v>#DIV/0!</v>
      </c>
      <c r="J386" s="238"/>
      <c r="K386" s="238"/>
      <c r="L386" s="239"/>
      <c r="M386" s="235"/>
      <c r="N386" s="235"/>
      <c r="O386" s="226"/>
      <c r="P386" s="226"/>
      <c r="Q386" s="29"/>
      <c r="R386" s="29"/>
      <c r="S386" s="29"/>
      <c r="T386" s="29"/>
      <c r="U386" s="29"/>
      <c r="V386" s="29"/>
    </row>
    <row r="387" spans="1:22">
      <c r="A387" s="10">
        <v>1</v>
      </c>
      <c r="B387" s="237"/>
      <c r="C387" s="237"/>
      <c r="E387" s="227"/>
      <c r="F387" s="231" t="s">
        <v>269</v>
      </c>
      <c r="G387" s="236" t="e">
        <f>J177/J200</f>
        <v>#DIV/0!</v>
      </c>
      <c r="H387" s="236" t="e">
        <f>K177/K200</f>
        <v>#DIV/0!</v>
      </c>
      <c r="I387" s="237" t="e">
        <f>G387-H387</f>
        <v>#DIV/0!</v>
      </c>
      <c r="J387" s="238"/>
      <c r="K387" s="238"/>
      <c r="L387" s="239"/>
      <c r="M387" s="235"/>
      <c r="N387" s="235"/>
      <c r="O387" s="226"/>
      <c r="P387" s="226"/>
      <c r="Q387" s="29"/>
      <c r="R387" s="29"/>
      <c r="S387" s="29"/>
      <c r="T387" s="29"/>
      <c r="U387" s="29"/>
      <c r="V387" s="29"/>
    </row>
    <row r="388" spans="1:22">
      <c r="A388" s="10">
        <v>1</v>
      </c>
      <c r="B388" s="233"/>
      <c r="C388" s="233"/>
      <c r="E388" s="227"/>
      <c r="F388" s="231" t="s">
        <v>335</v>
      </c>
      <c r="G388" s="232" t="e">
        <f>(J259/J288)</f>
        <v>#DIV/0!</v>
      </c>
      <c r="H388" s="232" t="e">
        <f>(K259/K288)</f>
        <v>#DIV/0!</v>
      </c>
      <c r="I388" s="233" t="e">
        <f>G388-H388</f>
        <v>#DIV/0!</v>
      </c>
      <c r="J388" s="240"/>
      <c r="K388" s="240"/>
      <c r="L388" s="240"/>
      <c r="M388" s="235"/>
      <c r="N388" s="235"/>
      <c r="O388" s="226"/>
      <c r="P388" s="226"/>
      <c r="Q388" s="29"/>
      <c r="R388" s="29"/>
      <c r="S388" s="29"/>
      <c r="T388" s="29"/>
      <c r="U388" s="29"/>
      <c r="V388" s="29"/>
    </row>
    <row r="389" spans="1:22">
      <c r="A389" s="10">
        <v>1</v>
      </c>
      <c r="B389" s="227"/>
      <c r="C389" s="227"/>
      <c r="E389" s="227"/>
      <c r="F389" s="227" t="s">
        <v>266</v>
      </c>
      <c r="G389" s="227"/>
      <c r="H389" s="227"/>
      <c r="I389" s="227"/>
      <c r="J389" s="227"/>
      <c r="K389" s="227"/>
      <c r="L389" s="29"/>
      <c r="M389" s="29"/>
      <c r="N389" s="29"/>
      <c r="Q389" s="29"/>
      <c r="R389" s="29"/>
      <c r="S389" s="29"/>
      <c r="T389" s="29"/>
      <c r="U389" s="29"/>
      <c r="V389" s="29"/>
    </row>
    <row r="390" spans="1:22">
      <c r="B390" s="227"/>
      <c r="C390" s="227"/>
      <c r="E390" s="227"/>
      <c r="F390" s="227"/>
      <c r="G390" s="227"/>
      <c r="H390" s="227"/>
      <c r="I390" s="227"/>
      <c r="J390" s="227"/>
      <c r="K390" s="227"/>
      <c r="L390" s="29"/>
      <c r="M390" s="29"/>
      <c r="N390" s="29"/>
      <c r="Q390" s="29"/>
      <c r="R390" s="29"/>
      <c r="S390" s="29"/>
      <c r="T390" s="29"/>
      <c r="U390" s="29"/>
      <c r="V390" s="29"/>
    </row>
    <row r="391" spans="1:22">
      <c r="B391" s="227"/>
      <c r="C391" s="227"/>
      <c r="E391" s="227"/>
      <c r="F391" s="227"/>
      <c r="G391" s="227"/>
      <c r="H391" s="227"/>
      <c r="I391" s="227"/>
      <c r="J391" s="227"/>
      <c r="K391" s="227"/>
      <c r="L391" s="29"/>
      <c r="M391" s="29"/>
      <c r="N391" s="29"/>
      <c r="Q391" s="29"/>
      <c r="R391" s="29"/>
      <c r="S391" s="29"/>
      <c r="T391" s="29"/>
      <c r="U391" s="29"/>
      <c r="V391" s="29"/>
    </row>
    <row r="392" spans="1:22">
      <c r="A392" s="10">
        <v>1</v>
      </c>
      <c r="B392" s="227"/>
      <c r="C392" s="227"/>
      <c r="E392" s="227"/>
      <c r="F392" s="227"/>
      <c r="G392" s="227"/>
      <c r="H392" s="227"/>
      <c r="I392" s="227"/>
      <c r="J392" s="227"/>
      <c r="K392" s="227"/>
      <c r="L392" s="29"/>
      <c r="M392" s="29"/>
      <c r="N392" s="29"/>
      <c r="Q392" s="29"/>
      <c r="R392" s="29"/>
      <c r="S392" s="29"/>
      <c r="T392" s="29"/>
      <c r="U392" s="29"/>
      <c r="V392" s="29"/>
    </row>
    <row r="393" spans="1:22">
      <c r="A393" s="10">
        <v>1</v>
      </c>
      <c r="B393" s="227"/>
      <c r="C393" s="227"/>
      <c r="E393" s="227" t="s">
        <v>270</v>
      </c>
      <c r="F393" s="227"/>
      <c r="G393" s="227"/>
      <c r="H393" s="227"/>
      <c r="I393" s="227"/>
      <c r="J393" s="227"/>
      <c r="K393" s="227"/>
      <c r="L393" s="29"/>
      <c r="M393" s="29"/>
      <c r="N393" s="29"/>
      <c r="Q393" s="29"/>
      <c r="R393" s="29"/>
      <c r="S393" s="29"/>
      <c r="T393" s="29"/>
      <c r="U393" s="29"/>
      <c r="V393" s="29"/>
    </row>
    <row r="394" spans="1:22">
      <c r="A394" s="10">
        <v>1</v>
      </c>
      <c r="B394" s="229"/>
      <c r="C394" s="229"/>
      <c r="E394" s="227"/>
      <c r="F394" s="228" t="s">
        <v>262</v>
      </c>
      <c r="G394" s="241">
        <f>G385</f>
        <v>0</v>
      </c>
      <c r="H394" s="241">
        <f>H385</f>
        <v>0</v>
      </c>
      <c r="I394" s="229" t="str">
        <f>I385</f>
        <v>증감</v>
      </c>
      <c r="J394" s="230">
        <f>K384</f>
        <v>0</v>
      </c>
      <c r="K394" s="230"/>
      <c r="L394" s="230">
        <f>L385</f>
        <v>0</v>
      </c>
      <c r="N394" s="29"/>
      <c r="Q394" s="29"/>
      <c r="R394" s="29"/>
      <c r="S394" s="29"/>
      <c r="T394" s="29"/>
      <c r="U394" s="29"/>
      <c r="V394" s="29"/>
    </row>
    <row r="395" spans="1:22">
      <c r="A395" s="10">
        <v>1</v>
      </c>
      <c r="B395" s="237"/>
      <c r="C395" s="237"/>
      <c r="E395" s="227"/>
      <c r="F395" s="231" t="s">
        <v>271</v>
      </c>
      <c r="G395" s="237" t="e">
        <f>(J318*12/CurMonths)/J201</f>
        <v>#DIV/0!</v>
      </c>
      <c r="H395" s="237" t="e">
        <f>(K318*12/PriorMonths)/K201</f>
        <v>#DIV/0!</v>
      </c>
      <c r="I395" s="237" t="e">
        <f>G395-H395</f>
        <v>#DIV/0!</v>
      </c>
      <c r="J395" s="242"/>
      <c r="K395" s="242"/>
      <c r="L395" s="242"/>
      <c r="N395" s="29"/>
      <c r="Q395" s="29"/>
      <c r="R395" s="29"/>
      <c r="S395" s="29"/>
      <c r="T395" s="29"/>
      <c r="U395" s="29"/>
      <c r="V395" s="29"/>
    </row>
    <row r="396" spans="1:22">
      <c r="A396" s="10">
        <v>1</v>
      </c>
      <c r="B396" s="237"/>
      <c r="C396" s="237"/>
      <c r="E396" s="227"/>
      <c r="F396" s="231" t="s">
        <v>272</v>
      </c>
      <c r="G396" s="236" t="e">
        <f>(J318*12/CurMonths)/J200</f>
        <v>#DIV/0!</v>
      </c>
      <c r="H396" s="236" t="e">
        <f>(K318*12/PriorMonths)/K200</f>
        <v>#DIV/0!</v>
      </c>
      <c r="I396" s="237" t="e">
        <f>G396-H396</f>
        <v>#DIV/0!</v>
      </c>
      <c r="J396" s="243"/>
      <c r="K396" s="243"/>
      <c r="L396" s="242"/>
      <c r="N396" s="244"/>
      <c r="Q396" s="29"/>
      <c r="R396" s="29"/>
      <c r="S396" s="29"/>
      <c r="T396" s="29"/>
      <c r="U396" s="29"/>
      <c r="V396" s="29"/>
    </row>
    <row r="397" spans="1:22">
      <c r="A397" s="10">
        <v>1</v>
      </c>
      <c r="F397" s="227" t="s">
        <v>266</v>
      </c>
      <c r="M397" s="245"/>
      <c r="Q397" s="29"/>
      <c r="R397" s="29"/>
      <c r="S397" s="29"/>
      <c r="T397" s="29"/>
      <c r="U397" s="29"/>
      <c r="V397" s="29"/>
    </row>
    <row r="398" spans="1:22">
      <c r="A398" s="10">
        <v>1</v>
      </c>
      <c r="F398" s="227"/>
      <c r="M398" s="245"/>
      <c r="Q398" s="29"/>
      <c r="R398" s="29"/>
      <c r="S398" s="29"/>
      <c r="T398" s="29"/>
      <c r="U398" s="29"/>
      <c r="V398" s="29"/>
    </row>
    <row r="399" spans="1:22">
      <c r="A399" s="10">
        <v>1</v>
      </c>
      <c r="M399" s="245"/>
      <c r="Q399" s="29"/>
      <c r="R399" s="29"/>
      <c r="S399" s="29"/>
      <c r="T399" s="29"/>
      <c r="U399" s="29"/>
      <c r="V399" s="29"/>
    </row>
    <row r="400" spans="1:22">
      <c r="A400" s="10">
        <v>1</v>
      </c>
      <c r="D400" s="5" t="s">
        <v>273</v>
      </c>
      <c r="M400" s="246"/>
      <c r="Q400" s="29"/>
      <c r="R400" s="29"/>
      <c r="S400" s="29"/>
      <c r="T400" s="29"/>
      <c r="U400" s="29"/>
      <c r="V400" s="29"/>
    </row>
    <row r="401" spans="1:22">
      <c r="A401" s="10">
        <v>1</v>
      </c>
      <c r="B401" s="228"/>
      <c r="C401" s="228"/>
      <c r="D401" s="227"/>
      <c r="E401" s="227"/>
      <c r="F401" s="228" t="s">
        <v>262</v>
      </c>
      <c r="G401" s="241">
        <f>G394</f>
        <v>0</v>
      </c>
      <c r="H401" s="241">
        <f>H394</f>
        <v>0</v>
      </c>
      <c r="I401" s="228" t="s">
        <v>274</v>
      </c>
      <c r="J401" s="228" t="s">
        <v>275</v>
      </c>
      <c r="K401" s="247"/>
      <c r="L401" s="227"/>
      <c r="M401" s="227"/>
      <c r="N401" s="227"/>
      <c r="O401" s="227"/>
      <c r="P401" s="227"/>
      <c r="Q401" s="29"/>
      <c r="R401" s="29"/>
      <c r="S401" s="29"/>
      <c r="T401" s="29"/>
      <c r="U401" s="29"/>
      <c r="V401" s="29"/>
    </row>
    <row r="402" spans="1:22">
      <c r="A402" s="10">
        <v>1</v>
      </c>
      <c r="B402" s="55"/>
      <c r="C402" s="55"/>
      <c r="D402" s="227"/>
      <c r="E402" s="227"/>
      <c r="F402" s="231" t="s">
        <v>276</v>
      </c>
      <c r="G402" s="55">
        <f>J208</f>
        <v>0</v>
      </c>
      <c r="H402" s="55">
        <f>K208</f>
        <v>0</v>
      </c>
      <c r="I402" s="55">
        <f t="shared" ref="I402:I403" si="263">G402-H402</f>
        <v>0</v>
      </c>
      <c r="J402" s="286" t="e">
        <f t="shared" ref="J402:J403" si="264">I402/H402</f>
        <v>#DIV/0!</v>
      </c>
      <c r="K402" s="248"/>
      <c r="L402" s="227"/>
      <c r="M402" s="227"/>
      <c r="N402" s="227"/>
      <c r="O402" s="227"/>
      <c r="P402" s="227"/>
      <c r="Q402" s="29"/>
      <c r="R402" s="29"/>
      <c r="S402" s="29"/>
      <c r="T402" s="29"/>
      <c r="U402" s="29"/>
      <c r="V402" s="29"/>
    </row>
    <row r="403" spans="1:22">
      <c r="B403" s="55"/>
      <c r="C403" s="55"/>
      <c r="D403" s="227"/>
      <c r="E403" s="227"/>
      <c r="F403" s="231" t="s">
        <v>336</v>
      </c>
      <c r="G403" s="55">
        <f>J209</f>
        <v>0</v>
      </c>
      <c r="H403" s="55">
        <f>K209</f>
        <v>0</v>
      </c>
      <c r="I403" s="55">
        <f t="shared" si="263"/>
        <v>0</v>
      </c>
      <c r="J403" s="286" t="e">
        <f t="shared" si="264"/>
        <v>#DIV/0!</v>
      </c>
      <c r="K403" s="248"/>
      <c r="L403" s="227"/>
      <c r="M403" s="227"/>
      <c r="N403" s="227"/>
      <c r="O403" s="227"/>
      <c r="P403" s="227"/>
      <c r="Q403" s="29"/>
      <c r="R403" s="29"/>
      <c r="S403" s="29"/>
      <c r="T403" s="29"/>
      <c r="U403" s="29"/>
      <c r="V403" s="29"/>
    </row>
    <row r="404" spans="1:22">
      <c r="A404" s="10">
        <v>1</v>
      </c>
      <c r="B404" s="227"/>
      <c r="C404" s="227"/>
      <c r="D404" s="227"/>
      <c r="E404" s="227"/>
      <c r="F404" s="227" t="s">
        <v>277</v>
      </c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9"/>
      <c r="R404" s="29"/>
      <c r="S404" s="29"/>
      <c r="T404" s="29"/>
      <c r="U404" s="29"/>
      <c r="V404" s="29"/>
    </row>
    <row r="405" spans="1:22">
      <c r="A405" s="10">
        <v>1</v>
      </c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9"/>
      <c r="R405" s="29"/>
      <c r="S405" s="29"/>
      <c r="T405" s="29"/>
      <c r="U405" s="29"/>
      <c r="V405" s="29"/>
    </row>
    <row r="406" spans="1:22"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9"/>
      <c r="R406" s="29"/>
      <c r="S406" s="29"/>
      <c r="T406" s="29"/>
      <c r="U406" s="29"/>
      <c r="V406" s="29"/>
    </row>
    <row r="407" spans="1:22">
      <c r="A407" s="10">
        <v>1</v>
      </c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9"/>
      <c r="R407" s="29"/>
      <c r="S407" s="29"/>
      <c r="T407" s="29"/>
      <c r="U407" s="29"/>
      <c r="V407" s="29"/>
    </row>
    <row r="408" spans="1:22">
      <c r="B408" s="227"/>
      <c r="C408" s="227"/>
      <c r="D408" s="249" t="s">
        <v>278</v>
      </c>
      <c r="E408" s="249"/>
      <c r="F408" s="227"/>
      <c r="G408" s="227"/>
      <c r="H408" s="227"/>
      <c r="I408" s="227"/>
      <c r="J408" s="227"/>
      <c r="K408" s="227"/>
      <c r="L408" s="227"/>
      <c r="M408" s="227"/>
      <c r="O408" s="227"/>
      <c r="P408" s="227"/>
      <c r="Q408" s="29"/>
      <c r="R408" s="29"/>
      <c r="S408" s="29"/>
      <c r="T408" s="29"/>
      <c r="U408" s="29"/>
      <c r="V408" s="29"/>
    </row>
    <row r="409" spans="1:22">
      <c r="B409" s="227"/>
      <c r="C409" s="227"/>
      <c r="D409" s="227"/>
      <c r="E409" s="227"/>
      <c r="F409" s="227" t="s">
        <v>279</v>
      </c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9"/>
      <c r="R409" s="29"/>
      <c r="S409" s="29"/>
      <c r="T409" s="29"/>
      <c r="U409" s="29"/>
      <c r="V409" s="29"/>
    </row>
    <row r="410" spans="1:22">
      <c r="B410" s="228"/>
      <c r="C410" s="228"/>
      <c r="D410" s="227"/>
      <c r="E410" s="227"/>
      <c r="F410" s="228" t="s">
        <v>262</v>
      </c>
      <c r="G410" s="241">
        <f>G401</f>
        <v>0</v>
      </c>
      <c r="H410" s="241">
        <f>H401</f>
        <v>0</v>
      </c>
      <c r="I410" s="228" t="s">
        <v>274</v>
      </c>
      <c r="J410" s="228" t="s">
        <v>275</v>
      </c>
      <c r="K410" s="247"/>
      <c r="L410" s="227"/>
      <c r="M410" s="227"/>
      <c r="N410" s="227"/>
      <c r="O410" s="227"/>
      <c r="P410" s="227"/>
      <c r="Q410" s="29"/>
      <c r="R410" s="29"/>
      <c r="S410" s="29"/>
      <c r="T410" s="29"/>
      <c r="U410" s="29"/>
      <c r="V410" s="29"/>
    </row>
    <row r="411" spans="1:22">
      <c r="B411" s="231"/>
      <c r="C411" s="231"/>
      <c r="D411" s="227"/>
      <c r="E411" s="227"/>
      <c r="F411" s="231" t="s">
        <v>280</v>
      </c>
      <c r="G411" s="231">
        <f>G402</f>
        <v>0</v>
      </c>
      <c r="H411" s="231">
        <f>H402</f>
        <v>0</v>
      </c>
      <c r="I411" s="231">
        <f>G411-H411</f>
        <v>0</v>
      </c>
      <c r="J411" s="236" t="e">
        <f>I411/H411</f>
        <v>#DIV/0!</v>
      </c>
      <c r="K411" s="248"/>
      <c r="L411" s="227"/>
      <c r="M411" s="227"/>
      <c r="N411" s="227"/>
      <c r="O411" s="227"/>
      <c r="P411" s="227"/>
      <c r="Q411" s="29"/>
      <c r="R411" s="29"/>
      <c r="S411" s="29"/>
      <c r="T411" s="29"/>
      <c r="U411" s="29"/>
      <c r="V411" s="29"/>
    </row>
    <row r="412" spans="1:22">
      <c r="B412" s="231"/>
      <c r="C412" s="231"/>
      <c r="D412" s="227"/>
      <c r="E412" s="227"/>
      <c r="F412" s="231" t="s">
        <v>23</v>
      </c>
      <c r="G412" s="231">
        <f>J218</f>
        <v>0</v>
      </c>
      <c r="H412" s="231">
        <f>K218</f>
        <v>0</v>
      </c>
      <c r="I412" s="231">
        <f>G412-H412</f>
        <v>0</v>
      </c>
      <c r="J412" s="236" t="e">
        <f>I412/H412</f>
        <v>#DIV/0!</v>
      </c>
      <c r="K412" s="248"/>
      <c r="L412" s="227"/>
      <c r="M412" s="227"/>
      <c r="N412" s="227"/>
      <c r="O412" s="227"/>
      <c r="P412" s="227"/>
      <c r="Q412" s="29"/>
      <c r="R412" s="29"/>
      <c r="S412" s="29"/>
      <c r="T412" s="29"/>
      <c r="U412" s="29"/>
      <c r="V412" s="29"/>
    </row>
    <row r="413" spans="1:22">
      <c r="B413" s="231"/>
      <c r="C413" s="231"/>
      <c r="D413" s="227"/>
      <c r="E413" s="227"/>
      <c r="F413" s="231" t="s">
        <v>281</v>
      </c>
      <c r="G413" s="231">
        <f>G411-G412</f>
        <v>0</v>
      </c>
      <c r="H413" s="231">
        <f>H411-H412</f>
        <v>0</v>
      </c>
      <c r="I413" s="231">
        <f>G413-H413</f>
        <v>0</v>
      </c>
      <c r="J413" s="236" t="e">
        <f>I413/H413</f>
        <v>#DIV/0!</v>
      </c>
      <c r="K413" s="248"/>
      <c r="L413" s="227"/>
      <c r="M413" s="227"/>
      <c r="N413" s="227"/>
      <c r="O413" s="227"/>
      <c r="P413" s="227"/>
      <c r="Q413" s="29"/>
      <c r="R413" s="29"/>
      <c r="S413" s="29"/>
      <c r="T413" s="29"/>
      <c r="U413" s="29"/>
      <c r="V413" s="29"/>
    </row>
    <row r="414" spans="1:22">
      <c r="B414" s="236"/>
      <c r="C414" s="236"/>
      <c r="D414" s="227"/>
      <c r="E414" s="227"/>
      <c r="F414" s="231" t="s">
        <v>282</v>
      </c>
      <c r="G414" s="236" t="e">
        <f>G413/G411</f>
        <v>#DIV/0!</v>
      </c>
      <c r="H414" s="236" t="e">
        <f>H413/H411</f>
        <v>#DIV/0!</v>
      </c>
      <c r="I414" s="236" t="e">
        <f>G414-H414</f>
        <v>#DIV/0!</v>
      </c>
      <c r="J414" s="231"/>
      <c r="K414" s="227"/>
      <c r="L414" s="227"/>
      <c r="M414" s="227"/>
      <c r="N414" s="227"/>
      <c r="O414" s="227"/>
      <c r="P414" s="227"/>
      <c r="Q414" s="29"/>
      <c r="R414" s="29"/>
      <c r="S414" s="29"/>
      <c r="T414" s="29"/>
      <c r="U414" s="29"/>
      <c r="V414" s="29"/>
    </row>
    <row r="415" spans="1:22">
      <c r="B415" s="227"/>
      <c r="C415" s="227"/>
      <c r="D415" s="227"/>
      <c r="E415" s="227"/>
      <c r="F415" s="227" t="s">
        <v>266</v>
      </c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9"/>
      <c r="R415" s="29"/>
      <c r="S415" s="29"/>
      <c r="T415" s="29"/>
      <c r="U415" s="29"/>
      <c r="V415" s="29"/>
    </row>
    <row r="416" spans="1:22"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9"/>
      <c r="R416" s="29"/>
      <c r="S416" s="29"/>
      <c r="T416" s="29"/>
      <c r="U416" s="29"/>
      <c r="V416" s="29"/>
    </row>
    <row r="417" spans="2:22"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9"/>
      <c r="R417" s="29"/>
      <c r="S417" s="29"/>
      <c r="T417" s="29"/>
      <c r="U417" s="29"/>
      <c r="V417" s="29"/>
    </row>
    <row r="418" spans="2:22"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9"/>
      <c r="R418" s="29"/>
      <c r="S418" s="29"/>
      <c r="T418" s="29"/>
      <c r="U418" s="29"/>
      <c r="V418" s="29"/>
    </row>
    <row r="419" spans="2:22">
      <c r="B419" s="227"/>
      <c r="C419" s="227"/>
      <c r="D419" s="227"/>
      <c r="E419" s="227"/>
      <c r="F419" s="227" t="s">
        <v>353</v>
      </c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9"/>
      <c r="R419" s="29"/>
      <c r="S419" s="29"/>
      <c r="T419" s="29"/>
      <c r="U419" s="29"/>
      <c r="V419" s="29"/>
    </row>
    <row r="420" spans="2:22">
      <c r="B420" s="228"/>
      <c r="C420" s="228"/>
      <c r="D420" s="227"/>
      <c r="E420" s="227"/>
      <c r="F420" s="228" t="s">
        <v>262</v>
      </c>
      <c r="G420" s="241">
        <f>G410</f>
        <v>0</v>
      </c>
      <c r="H420" s="241">
        <f>H410</f>
        <v>0</v>
      </c>
      <c r="I420" s="228" t="s">
        <v>274</v>
      </c>
      <c r="J420" s="228" t="s">
        <v>275</v>
      </c>
      <c r="K420" s="227"/>
      <c r="L420" s="227"/>
      <c r="M420" s="227"/>
      <c r="N420" s="227"/>
      <c r="O420" s="227"/>
      <c r="P420" s="227"/>
      <c r="Q420" s="29"/>
      <c r="R420" s="29"/>
      <c r="S420" s="29"/>
      <c r="T420" s="29"/>
      <c r="U420" s="29"/>
      <c r="V420" s="29"/>
    </row>
    <row r="421" spans="2:22">
      <c r="B421" s="231"/>
      <c r="C421" s="231"/>
      <c r="D421" s="227"/>
      <c r="E421" s="227"/>
      <c r="F421" s="231" t="s">
        <v>336</v>
      </c>
      <c r="G421" s="231">
        <f>G403</f>
        <v>0</v>
      </c>
      <c r="H421" s="231">
        <f>H403</f>
        <v>0</v>
      </c>
      <c r="I421" s="231">
        <f>G421-H421</f>
        <v>0</v>
      </c>
      <c r="J421" s="236" t="e">
        <f>I421/H421</f>
        <v>#DIV/0!</v>
      </c>
      <c r="K421" s="227"/>
      <c r="L421" s="227"/>
      <c r="M421" s="227"/>
      <c r="N421" s="227"/>
      <c r="O421" s="227"/>
      <c r="P421" s="227"/>
      <c r="Q421" s="29"/>
      <c r="R421" s="29"/>
      <c r="S421" s="29"/>
      <c r="T421" s="29"/>
      <c r="U421" s="29"/>
      <c r="V421" s="29"/>
    </row>
    <row r="422" spans="2:22">
      <c r="B422" s="231"/>
      <c r="C422" s="231"/>
      <c r="D422" s="227"/>
      <c r="E422" s="227"/>
      <c r="F422" s="231" t="s">
        <v>106</v>
      </c>
      <c r="G422" s="231">
        <f>J211</f>
        <v>0</v>
      </c>
      <c r="H422" s="231">
        <f>K211</f>
        <v>0</v>
      </c>
      <c r="I422" s="231">
        <f>G422-H422</f>
        <v>0</v>
      </c>
      <c r="J422" s="236" t="e">
        <f>I422/H422</f>
        <v>#DIV/0!</v>
      </c>
      <c r="K422" s="227"/>
      <c r="L422" s="227"/>
      <c r="M422" s="227"/>
      <c r="N422" s="227"/>
      <c r="O422" s="227"/>
      <c r="P422" s="227"/>
      <c r="Q422" s="29"/>
      <c r="R422" s="29"/>
      <c r="S422" s="29"/>
      <c r="T422" s="29"/>
      <c r="U422" s="29"/>
      <c r="V422" s="29"/>
    </row>
    <row r="423" spans="2:22">
      <c r="B423" s="231"/>
      <c r="C423" s="231"/>
      <c r="D423" s="227"/>
      <c r="E423" s="227"/>
      <c r="F423" s="231" t="s">
        <v>351</v>
      </c>
      <c r="G423" s="231">
        <f>G421-G422</f>
        <v>0</v>
      </c>
      <c r="H423" s="231">
        <f>H421-H422</f>
        <v>0</v>
      </c>
      <c r="I423" s="231">
        <f>G423-H423</f>
        <v>0</v>
      </c>
      <c r="J423" s="236" t="e">
        <f>I423/H423</f>
        <v>#DIV/0!</v>
      </c>
      <c r="K423" s="227"/>
      <c r="L423" s="227"/>
      <c r="M423" s="227"/>
      <c r="N423" s="227"/>
      <c r="O423" s="227"/>
      <c r="P423" s="227"/>
      <c r="Q423" s="29"/>
      <c r="R423" s="29"/>
      <c r="S423" s="29"/>
      <c r="T423" s="29"/>
      <c r="U423" s="29"/>
      <c r="V423" s="29"/>
    </row>
    <row r="424" spans="2:22">
      <c r="B424" s="236"/>
      <c r="C424" s="236"/>
      <c r="D424" s="227"/>
      <c r="E424" s="227"/>
      <c r="F424" s="231" t="s">
        <v>352</v>
      </c>
      <c r="G424" s="236" t="e">
        <f>G423/G421</f>
        <v>#DIV/0!</v>
      </c>
      <c r="H424" s="236" t="e">
        <f>H423/H421</f>
        <v>#DIV/0!</v>
      </c>
      <c r="I424" s="236" t="e">
        <f>G424-H424</f>
        <v>#DIV/0!</v>
      </c>
      <c r="J424" s="231"/>
      <c r="K424" s="227"/>
      <c r="L424" s="227"/>
      <c r="M424" s="227"/>
      <c r="N424" s="227"/>
      <c r="O424" s="227"/>
      <c r="P424" s="227"/>
      <c r="Q424" s="29"/>
      <c r="R424" s="29"/>
      <c r="S424" s="29"/>
      <c r="T424" s="29"/>
      <c r="U424" s="29"/>
      <c r="V424" s="29"/>
    </row>
    <row r="425" spans="2:22">
      <c r="B425" s="227"/>
      <c r="C425" s="227"/>
      <c r="D425" s="227"/>
      <c r="E425" s="227"/>
      <c r="F425" s="227" t="s">
        <v>266</v>
      </c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9"/>
      <c r="R425" s="29"/>
      <c r="S425" s="29"/>
      <c r="T425" s="29"/>
      <c r="U425" s="29"/>
      <c r="V425" s="29"/>
    </row>
    <row r="426" spans="2:22"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9"/>
      <c r="R426" s="29"/>
      <c r="S426" s="29"/>
      <c r="T426" s="29"/>
      <c r="U426" s="29"/>
      <c r="V426" s="29"/>
    </row>
    <row r="427" spans="2:22"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9"/>
      <c r="R427" s="29"/>
      <c r="S427" s="29"/>
      <c r="T427" s="29"/>
      <c r="U427" s="29"/>
      <c r="V427" s="29"/>
    </row>
    <row r="428" spans="2:22"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9"/>
      <c r="R428" s="29"/>
      <c r="S428" s="29"/>
      <c r="T428" s="29"/>
      <c r="U428" s="29"/>
      <c r="V428" s="29"/>
    </row>
    <row r="429" spans="2:22"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9"/>
      <c r="R429" s="29"/>
      <c r="S429" s="29"/>
      <c r="T429" s="29"/>
      <c r="U429" s="29"/>
      <c r="V429" s="29"/>
    </row>
    <row r="430" spans="2:22">
      <c r="B430" s="227"/>
      <c r="C430" s="227"/>
      <c r="D430" s="249" t="s">
        <v>283</v>
      </c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9"/>
      <c r="R430" s="29"/>
      <c r="S430" s="29"/>
      <c r="T430" s="29"/>
      <c r="U430" s="29"/>
      <c r="V430" s="29"/>
    </row>
    <row r="431" spans="2:22">
      <c r="B431" s="227"/>
      <c r="C431" s="227"/>
      <c r="D431" s="227"/>
      <c r="E431" s="227" t="s">
        <v>337</v>
      </c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9"/>
      <c r="R431" s="29"/>
      <c r="S431" s="29"/>
      <c r="T431" s="29"/>
      <c r="U431" s="29"/>
      <c r="V431" s="29"/>
    </row>
    <row r="432" spans="2:22">
      <c r="B432" s="228"/>
      <c r="C432" s="228"/>
      <c r="D432" s="227"/>
      <c r="E432" s="227"/>
      <c r="F432" s="228" t="s">
        <v>262</v>
      </c>
      <c r="G432" s="241">
        <f>G420</f>
        <v>0</v>
      </c>
      <c r="H432" s="241">
        <f>H420</f>
        <v>0</v>
      </c>
      <c r="I432" s="228" t="s">
        <v>274</v>
      </c>
      <c r="J432" s="228" t="s">
        <v>275</v>
      </c>
      <c r="K432" s="247"/>
      <c r="L432" s="227"/>
      <c r="M432" s="227"/>
      <c r="N432" s="227"/>
      <c r="O432" s="227"/>
      <c r="P432" s="227"/>
      <c r="Q432" s="29"/>
      <c r="R432" s="29"/>
      <c r="S432" s="29"/>
      <c r="T432" s="29"/>
      <c r="U432" s="29"/>
      <c r="V432" s="29"/>
    </row>
    <row r="433" spans="2:22">
      <c r="B433" s="55"/>
      <c r="C433" s="55"/>
      <c r="D433" s="227"/>
      <c r="E433" s="227"/>
      <c r="F433" s="231" t="s">
        <v>284</v>
      </c>
      <c r="G433" s="55">
        <f>J230+J231</f>
        <v>0</v>
      </c>
      <c r="H433" s="55">
        <f>K230+K231</f>
        <v>0</v>
      </c>
      <c r="I433" s="55">
        <f>G433-H433</f>
        <v>0</v>
      </c>
      <c r="J433" s="237" t="e">
        <f>I433/H433</f>
        <v>#DIV/0!</v>
      </c>
      <c r="K433" s="251"/>
      <c r="L433" s="227"/>
      <c r="M433" s="227"/>
      <c r="N433" s="227"/>
      <c r="O433" s="227"/>
      <c r="P433" s="227"/>
      <c r="Q433" s="29"/>
      <c r="R433" s="29"/>
      <c r="S433" s="29"/>
      <c r="T433" s="29"/>
      <c r="U433" s="29"/>
      <c r="V433" s="29"/>
    </row>
    <row r="434" spans="2:22">
      <c r="B434" s="55"/>
      <c r="C434" s="55"/>
      <c r="D434" s="227"/>
      <c r="E434" s="227"/>
      <c r="F434" s="231" t="s">
        <v>285</v>
      </c>
      <c r="G434" s="55">
        <f>J341</f>
        <v>0</v>
      </c>
      <c r="H434" s="55">
        <f>K341</f>
        <v>0</v>
      </c>
      <c r="I434" s="55">
        <f>G434-H434</f>
        <v>0</v>
      </c>
      <c r="J434" s="237" t="e">
        <f>I434/H434</f>
        <v>#DIV/0!</v>
      </c>
      <c r="K434" s="251"/>
      <c r="L434" s="227"/>
      <c r="M434" s="227"/>
      <c r="N434" s="227"/>
      <c r="O434" s="227"/>
      <c r="P434" s="227"/>
      <c r="Q434" s="29"/>
      <c r="R434" s="29"/>
      <c r="S434" s="29"/>
      <c r="T434" s="29"/>
      <c r="U434" s="29"/>
      <c r="V434" s="29"/>
    </row>
    <row r="435" spans="2:22">
      <c r="B435" s="55"/>
      <c r="C435" s="55"/>
      <c r="D435" s="227"/>
      <c r="E435" s="227"/>
      <c r="F435" s="231" t="s">
        <v>83</v>
      </c>
      <c r="G435" s="55">
        <f>SUM(G433:G434)</f>
        <v>0</v>
      </c>
      <c r="H435" s="55">
        <f>SUM(H433:H434)</f>
        <v>0</v>
      </c>
      <c r="I435" s="55">
        <f>SUM(I433:I434)</f>
        <v>0</v>
      </c>
      <c r="J435" s="237" t="e">
        <f>I435/H435</f>
        <v>#DIV/0!</v>
      </c>
      <c r="K435" s="251"/>
      <c r="L435" s="227"/>
      <c r="M435" s="227"/>
      <c r="N435" s="250"/>
      <c r="O435" s="227"/>
      <c r="P435" s="227"/>
      <c r="Q435" s="29"/>
      <c r="R435" s="29"/>
      <c r="S435" s="29"/>
      <c r="T435" s="29"/>
      <c r="U435" s="29"/>
      <c r="V435" s="29"/>
    </row>
    <row r="436" spans="2:22">
      <c r="B436" s="227"/>
      <c r="C436" s="227"/>
      <c r="D436" s="227"/>
      <c r="E436" s="227"/>
      <c r="F436" s="227" t="s">
        <v>266</v>
      </c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9"/>
      <c r="R436" s="29"/>
      <c r="S436" s="29"/>
      <c r="T436" s="29"/>
      <c r="U436" s="29"/>
      <c r="V436" s="29"/>
    </row>
    <row r="437" spans="2:22">
      <c r="B437" s="227"/>
      <c r="C437" s="227"/>
      <c r="D437" s="227"/>
      <c r="E437" s="227"/>
      <c r="F437" s="227"/>
      <c r="G437" s="227"/>
      <c r="H437" s="227"/>
      <c r="I437" s="227"/>
      <c r="J437" s="252"/>
      <c r="K437" s="253"/>
      <c r="L437" s="227"/>
      <c r="M437" s="227"/>
      <c r="N437" s="227"/>
      <c r="O437" s="227"/>
      <c r="P437" s="227"/>
      <c r="Q437" s="29"/>
      <c r="R437" s="29"/>
      <c r="S437" s="29"/>
      <c r="T437" s="29"/>
      <c r="U437" s="29"/>
      <c r="V437" s="29"/>
    </row>
    <row r="438" spans="2:22"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9"/>
      <c r="R438" s="29"/>
      <c r="S438" s="29"/>
      <c r="T438" s="29"/>
      <c r="U438" s="29"/>
      <c r="V438" s="29"/>
    </row>
    <row r="439" spans="2:22">
      <c r="B439" s="227"/>
      <c r="C439" s="227"/>
      <c r="D439" s="227"/>
      <c r="E439" s="227" t="s">
        <v>338</v>
      </c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9"/>
      <c r="R439" s="29"/>
      <c r="S439" s="29"/>
      <c r="T439" s="29"/>
      <c r="U439" s="29"/>
      <c r="V439" s="29"/>
    </row>
    <row r="440" spans="2:22">
      <c r="B440" s="228"/>
      <c r="C440" s="228"/>
      <c r="D440" s="227"/>
      <c r="E440" s="227"/>
      <c r="F440" s="228" t="s">
        <v>262</v>
      </c>
      <c r="G440" s="241">
        <f>G432</f>
        <v>0</v>
      </c>
      <c r="H440" s="241">
        <f>H432</f>
        <v>0</v>
      </c>
      <c r="I440" s="228" t="s">
        <v>274</v>
      </c>
      <c r="J440" s="228" t="s">
        <v>275</v>
      </c>
      <c r="K440" s="227"/>
      <c r="L440" s="227"/>
      <c r="M440" s="227"/>
      <c r="N440" s="227"/>
      <c r="O440" s="227"/>
      <c r="P440" s="227"/>
      <c r="Q440" s="29"/>
      <c r="R440" s="29"/>
      <c r="S440" s="29"/>
      <c r="T440" s="29"/>
      <c r="U440" s="29"/>
      <c r="V440" s="29"/>
    </row>
    <row r="441" spans="2:22">
      <c r="B441" s="55"/>
      <c r="C441" s="55"/>
      <c r="D441" s="227"/>
      <c r="E441" s="227"/>
      <c r="F441" s="231" t="s">
        <v>284</v>
      </c>
      <c r="G441" s="55">
        <f>J241</f>
        <v>0</v>
      </c>
      <c r="H441" s="55">
        <f>K241</f>
        <v>0</v>
      </c>
      <c r="I441" s="55">
        <f>G441-H441</f>
        <v>0</v>
      </c>
      <c r="J441" s="237" t="e">
        <f>I441/H441</f>
        <v>#DIV/0!</v>
      </c>
      <c r="K441" s="227"/>
      <c r="L441" s="227"/>
      <c r="M441" s="227"/>
      <c r="N441" s="227"/>
      <c r="O441" s="227"/>
      <c r="P441" s="227"/>
      <c r="Q441" s="29"/>
      <c r="R441" s="29"/>
      <c r="S441" s="29"/>
      <c r="T441" s="29"/>
      <c r="U441" s="29"/>
      <c r="V441" s="29"/>
    </row>
    <row r="442" spans="2:22">
      <c r="B442" s="55"/>
      <c r="C442" s="55"/>
      <c r="D442" s="227"/>
      <c r="E442" s="227"/>
      <c r="F442" s="231" t="s">
        <v>285</v>
      </c>
      <c r="G442" s="55">
        <f>J353</f>
        <v>0</v>
      </c>
      <c r="H442" s="55">
        <f>K353</f>
        <v>0</v>
      </c>
      <c r="I442" s="55">
        <f>G442-H442</f>
        <v>0</v>
      </c>
      <c r="J442" s="237" t="e">
        <f>I442/H442</f>
        <v>#DIV/0!</v>
      </c>
      <c r="K442" s="227"/>
      <c r="L442" s="227"/>
      <c r="M442" s="227"/>
      <c r="N442" s="227"/>
      <c r="O442" s="227"/>
      <c r="P442" s="227"/>
      <c r="Q442" s="29"/>
      <c r="R442" s="29"/>
      <c r="S442" s="29"/>
      <c r="T442" s="29"/>
      <c r="U442" s="29"/>
      <c r="V442" s="29"/>
    </row>
    <row r="443" spans="2:22">
      <c r="B443" s="55"/>
      <c r="C443" s="55"/>
      <c r="D443" s="227"/>
      <c r="E443" s="227"/>
      <c r="F443" s="231" t="s">
        <v>83</v>
      </c>
      <c r="G443" s="55">
        <f>SUM(G441:G442)</f>
        <v>0</v>
      </c>
      <c r="H443" s="55">
        <f>SUM(H441:H442)</f>
        <v>0</v>
      </c>
      <c r="I443" s="55">
        <f>SUM(I441:I442)</f>
        <v>0</v>
      </c>
      <c r="J443" s="237" t="e">
        <f>I443/H443</f>
        <v>#DIV/0!</v>
      </c>
      <c r="K443" s="227"/>
      <c r="L443" s="227"/>
      <c r="M443" s="227"/>
      <c r="N443" s="227"/>
      <c r="O443" s="227"/>
      <c r="P443" s="227"/>
      <c r="Q443" s="29"/>
      <c r="R443" s="29"/>
      <c r="S443" s="29"/>
      <c r="T443" s="29"/>
      <c r="U443" s="29"/>
      <c r="V443" s="29"/>
    </row>
    <row r="444" spans="2:22">
      <c r="B444" s="227"/>
      <c r="C444" s="227"/>
      <c r="D444" s="227"/>
      <c r="E444" s="227"/>
      <c r="F444" s="227" t="s">
        <v>266</v>
      </c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9"/>
      <c r="R444" s="29"/>
      <c r="S444" s="29"/>
      <c r="T444" s="29"/>
      <c r="U444" s="29"/>
      <c r="V444" s="29"/>
    </row>
    <row r="445" spans="2:22"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9"/>
      <c r="R445" s="29"/>
      <c r="S445" s="29"/>
      <c r="T445" s="29"/>
      <c r="U445" s="29"/>
      <c r="V445" s="29"/>
    </row>
    <row r="446" spans="2:22"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9"/>
      <c r="R446" s="29"/>
      <c r="S446" s="29"/>
      <c r="T446" s="29"/>
      <c r="U446" s="29"/>
      <c r="V446" s="29"/>
    </row>
    <row r="447" spans="2:22">
      <c r="B447" s="227"/>
      <c r="C447" s="227"/>
      <c r="D447" s="249" t="s">
        <v>286</v>
      </c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9"/>
      <c r="R447" s="29"/>
      <c r="S447" s="29"/>
      <c r="T447" s="29"/>
      <c r="U447" s="29"/>
      <c r="V447" s="29"/>
    </row>
    <row r="448" spans="2:22">
      <c r="B448" s="254"/>
      <c r="C448" s="254"/>
      <c r="D448" s="227"/>
      <c r="E448" s="227"/>
      <c r="F448" s="254" t="s">
        <v>287</v>
      </c>
      <c r="G448" s="254"/>
      <c r="H448" s="254"/>
      <c r="I448" s="254"/>
      <c r="J448" s="254"/>
      <c r="K448" s="254"/>
      <c r="L448" s="254"/>
      <c r="M448" s="254"/>
      <c r="N448" s="227"/>
      <c r="O448" s="227"/>
      <c r="P448" s="227"/>
      <c r="Q448" s="29"/>
      <c r="R448" s="29"/>
      <c r="S448" s="29"/>
      <c r="T448" s="29"/>
      <c r="U448" s="29"/>
      <c r="V448" s="29"/>
    </row>
    <row r="449" spans="2:22">
      <c r="B449" s="255"/>
      <c r="C449" s="255"/>
      <c r="D449" s="227"/>
      <c r="E449" s="227"/>
      <c r="F449" s="255" t="s">
        <v>262</v>
      </c>
      <c r="G449" s="241">
        <f>G432</f>
        <v>0</v>
      </c>
      <c r="H449" s="241">
        <f>H432</f>
        <v>0</v>
      </c>
      <c r="I449" s="255" t="s">
        <v>288</v>
      </c>
      <c r="J449" s="255" t="s">
        <v>275</v>
      </c>
      <c r="K449" s="257"/>
      <c r="L449" s="258"/>
      <c r="M449" s="254"/>
      <c r="N449" s="227"/>
      <c r="O449" s="227"/>
      <c r="P449" s="227"/>
      <c r="Q449" s="29"/>
      <c r="R449" s="29"/>
      <c r="S449" s="29"/>
      <c r="T449" s="29"/>
      <c r="U449" s="29"/>
      <c r="V449" s="29"/>
    </row>
    <row r="450" spans="2:22">
      <c r="B450" s="55"/>
      <c r="C450" s="55"/>
      <c r="D450" s="227"/>
      <c r="E450" s="227"/>
      <c r="F450" s="259" t="s">
        <v>289</v>
      </c>
      <c r="G450" s="55" t="e">
        <f>J207*12/CurMonths</f>
        <v>#DIV/0!</v>
      </c>
      <c r="H450" s="55" t="e">
        <f>K207*12/PriorMonths</f>
        <v>#DIV/0!</v>
      </c>
      <c r="I450" s="55" t="e">
        <f>G450-H450</f>
        <v>#DIV/0!</v>
      </c>
      <c r="J450" s="260" t="e">
        <f>I450/H450</f>
        <v>#DIV/0!</v>
      </c>
      <c r="K450" s="261"/>
      <c r="L450" s="254"/>
      <c r="M450" s="254"/>
      <c r="N450" s="227"/>
      <c r="O450" s="227"/>
      <c r="P450" s="227"/>
      <c r="Q450" s="29"/>
      <c r="R450" s="29"/>
      <c r="S450" s="29"/>
      <c r="T450" s="29"/>
      <c r="U450" s="29"/>
      <c r="V450" s="29"/>
    </row>
    <row r="451" spans="2:22">
      <c r="B451" s="55"/>
      <c r="C451" s="55"/>
      <c r="D451" s="227"/>
      <c r="E451" s="227"/>
      <c r="F451" s="259" t="s">
        <v>290</v>
      </c>
      <c r="G451" s="55">
        <f>H452</f>
        <v>0</v>
      </c>
      <c r="H451" s="358"/>
      <c r="I451" s="55">
        <f>G451-H451</f>
        <v>0</v>
      </c>
      <c r="J451" s="260" t="e">
        <f>I451/H451</f>
        <v>#DIV/0!</v>
      </c>
      <c r="K451" s="261"/>
      <c r="L451" s="254"/>
      <c r="M451" s="254"/>
      <c r="N451" s="227"/>
      <c r="O451" s="227"/>
      <c r="P451" s="227"/>
      <c r="Q451" s="29"/>
      <c r="R451" s="29"/>
      <c r="S451" s="29"/>
      <c r="T451" s="29"/>
      <c r="U451" s="29"/>
      <c r="V451" s="29"/>
    </row>
    <row r="452" spans="2:22">
      <c r="B452" s="55"/>
      <c r="C452" s="55"/>
      <c r="D452" s="227"/>
      <c r="E452" s="227"/>
      <c r="F452" s="259" t="s">
        <v>291</v>
      </c>
      <c r="G452" s="55">
        <f>J19+J20</f>
        <v>0</v>
      </c>
      <c r="H452" s="55">
        <f>K19+K20</f>
        <v>0</v>
      </c>
      <c r="I452" s="55">
        <f>G452-H452</f>
        <v>0</v>
      </c>
      <c r="J452" s="260" t="e">
        <f>I452/H452</f>
        <v>#DIV/0!</v>
      </c>
      <c r="K452" s="261"/>
      <c r="L452" s="254"/>
      <c r="M452" s="254"/>
      <c r="N452" s="227"/>
      <c r="O452" s="227"/>
      <c r="P452" s="227"/>
      <c r="Q452" s="29"/>
      <c r="R452" s="29"/>
      <c r="S452" s="29"/>
      <c r="T452" s="29"/>
      <c r="U452" s="29"/>
      <c r="V452" s="29"/>
    </row>
    <row r="453" spans="2:22">
      <c r="B453" s="55"/>
      <c r="C453" s="55"/>
      <c r="D453" s="227"/>
      <c r="E453" s="227"/>
      <c r="F453" s="259" t="s">
        <v>292</v>
      </c>
      <c r="G453" s="55">
        <f>AVERAGE(G451:G452)</f>
        <v>0</v>
      </c>
      <c r="H453" s="55">
        <f>AVERAGE(H451:H452)</f>
        <v>0</v>
      </c>
      <c r="I453" s="55">
        <f>G453-H453</f>
        <v>0</v>
      </c>
      <c r="J453" s="260" t="e">
        <f>I453/H453</f>
        <v>#DIV/0!</v>
      </c>
      <c r="K453" s="261"/>
      <c r="L453" s="254"/>
      <c r="M453" s="254"/>
      <c r="N453" s="227"/>
      <c r="O453" s="227"/>
      <c r="P453" s="227"/>
      <c r="Q453" s="29"/>
      <c r="R453" s="29"/>
      <c r="S453" s="29"/>
      <c r="T453" s="29"/>
      <c r="U453" s="29"/>
      <c r="V453" s="29"/>
    </row>
    <row r="454" spans="2:22">
      <c r="B454" s="262"/>
      <c r="C454" s="262"/>
      <c r="D454" s="227"/>
      <c r="E454" s="227"/>
      <c r="F454" s="259" t="s">
        <v>293</v>
      </c>
      <c r="G454" s="262" t="e">
        <f>G450/G453</f>
        <v>#DIV/0!</v>
      </c>
      <c r="H454" s="262" t="e">
        <f>H450/H453</f>
        <v>#DIV/0!</v>
      </c>
      <c r="I454" s="262"/>
      <c r="J454" s="259"/>
      <c r="K454" s="254"/>
      <c r="L454" s="263"/>
      <c r="M454" s="254"/>
      <c r="N454" s="227"/>
      <c r="O454" s="227"/>
      <c r="P454" s="227"/>
      <c r="Q454" s="29"/>
      <c r="R454" s="29"/>
      <c r="S454" s="29"/>
      <c r="T454" s="29"/>
      <c r="U454" s="29"/>
      <c r="V454" s="29"/>
    </row>
    <row r="455" spans="2:22">
      <c r="B455" s="259"/>
      <c r="C455" s="259"/>
      <c r="D455" s="227"/>
      <c r="E455" s="227"/>
      <c r="F455" s="259" t="s">
        <v>294</v>
      </c>
      <c r="G455" s="259" t="e">
        <f>ROUND(365/G454,)</f>
        <v>#DIV/0!</v>
      </c>
      <c r="H455" s="259" t="e">
        <f>ROUND(365/H454,)</f>
        <v>#DIV/0!</v>
      </c>
      <c r="I455" s="259" t="e">
        <f>G455-H455</f>
        <v>#DIV/0!</v>
      </c>
      <c r="J455" s="259"/>
      <c r="K455" s="254"/>
      <c r="L455" s="254"/>
      <c r="M455" s="254"/>
      <c r="N455" s="227"/>
      <c r="O455" s="227"/>
      <c r="P455" s="227"/>
      <c r="Q455" s="29"/>
      <c r="R455" s="29"/>
      <c r="S455" s="29"/>
      <c r="T455" s="29"/>
      <c r="U455" s="29"/>
      <c r="V455" s="29"/>
    </row>
    <row r="456" spans="2:22">
      <c r="B456" s="254"/>
      <c r="C456" s="254"/>
      <c r="D456" s="227"/>
      <c r="E456" s="227"/>
      <c r="F456" s="254" t="s">
        <v>266</v>
      </c>
      <c r="G456" s="254"/>
      <c r="H456" s="254"/>
      <c r="I456" s="254"/>
      <c r="J456" s="254"/>
      <c r="K456" s="254"/>
      <c r="L456" s="254"/>
      <c r="M456" s="254"/>
      <c r="N456" s="227"/>
      <c r="O456" s="227"/>
      <c r="P456" s="227"/>
      <c r="Q456" s="29"/>
      <c r="R456" s="29"/>
      <c r="S456" s="29"/>
      <c r="T456" s="29"/>
      <c r="U456" s="29"/>
      <c r="V456" s="29"/>
    </row>
    <row r="457" spans="2:22">
      <c r="B457" s="254"/>
      <c r="C457" s="254"/>
      <c r="D457" s="227"/>
      <c r="E457" s="227"/>
      <c r="F457" s="254"/>
      <c r="G457" s="264"/>
      <c r="H457" s="254"/>
      <c r="I457" s="254"/>
      <c r="J457" s="254"/>
      <c r="K457" s="254"/>
      <c r="L457" s="254"/>
      <c r="M457" s="254"/>
      <c r="N457" s="227"/>
      <c r="O457" s="227"/>
      <c r="P457" s="227"/>
      <c r="Q457" s="29"/>
      <c r="R457" s="29"/>
      <c r="S457" s="29"/>
      <c r="T457" s="29"/>
      <c r="U457" s="29"/>
      <c r="V457" s="29"/>
    </row>
    <row r="458" spans="2:22">
      <c r="B458" s="254"/>
      <c r="C458" s="254"/>
      <c r="D458" s="227"/>
      <c r="E458" s="227"/>
      <c r="F458" s="254"/>
      <c r="G458" s="264"/>
      <c r="H458" s="254"/>
      <c r="I458" s="254"/>
      <c r="J458" s="254"/>
      <c r="K458" s="254"/>
      <c r="L458" s="254"/>
      <c r="M458" s="254"/>
      <c r="N458" s="227"/>
      <c r="O458" s="227"/>
      <c r="P458" s="227"/>
      <c r="Q458" s="29"/>
      <c r="R458" s="29"/>
      <c r="S458" s="29"/>
      <c r="T458" s="29"/>
      <c r="U458" s="29"/>
      <c r="V458" s="29"/>
    </row>
    <row r="459" spans="2:22"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9"/>
      <c r="R459" s="29"/>
      <c r="S459" s="29"/>
      <c r="T459" s="29"/>
      <c r="U459" s="29"/>
      <c r="V459" s="29"/>
    </row>
    <row r="460" spans="2:22">
      <c r="B460" s="254"/>
      <c r="C460" s="254"/>
      <c r="D460" s="265" t="s">
        <v>296</v>
      </c>
      <c r="E460" s="227"/>
      <c r="F460" s="266"/>
      <c r="G460" s="254"/>
      <c r="H460" s="254"/>
      <c r="I460" s="254"/>
      <c r="J460" s="254"/>
      <c r="K460" s="254"/>
      <c r="L460" s="254"/>
      <c r="M460" s="254"/>
      <c r="N460" s="227"/>
      <c r="O460" s="227"/>
      <c r="P460" s="227"/>
      <c r="Q460" s="29"/>
      <c r="R460" s="29"/>
      <c r="S460" s="29"/>
      <c r="T460" s="29"/>
      <c r="U460" s="29"/>
      <c r="V460" s="29"/>
    </row>
    <row r="461" spans="2:22">
      <c r="B461" s="254"/>
      <c r="C461" s="254"/>
      <c r="D461" s="227"/>
      <c r="E461" s="266" t="s">
        <v>297</v>
      </c>
      <c r="G461" s="254"/>
      <c r="H461" s="254"/>
      <c r="I461" s="254"/>
      <c r="J461" s="254"/>
      <c r="K461" s="254"/>
      <c r="L461" s="254"/>
      <c r="M461" s="254"/>
      <c r="N461" s="227"/>
      <c r="O461" s="227"/>
      <c r="P461" s="227"/>
      <c r="Q461" s="29"/>
      <c r="R461" s="29"/>
      <c r="S461" s="29"/>
      <c r="T461" s="29"/>
      <c r="U461" s="29"/>
      <c r="V461" s="29"/>
    </row>
    <row r="462" spans="2:22">
      <c r="B462" s="255"/>
      <c r="C462" s="255"/>
      <c r="D462" s="227"/>
      <c r="E462" s="227"/>
      <c r="F462" s="256" t="s">
        <v>217</v>
      </c>
      <c r="G462" s="241">
        <f>G449</f>
        <v>0</v>
      </c>
      <c r="H462" s="241">
        <f>H449</f>
        <v>0</v>
      </c>
      <c r="I462" s="255" t="s">
        <v>288</v>
      </c>
      <c r="J462" s="255" t="s">
        <v>298</v>
      </c>
      <c r="K462" s="257"/>
      <c r="L462" s="257"/>
      <c r="M462" s="257"/>
      <c r="N462" s="227"/>
      <c r="O462" s="227"/>
      <c r="P462" s="227"/>
      <c r="Q462" s="29"/>
      <c r="R462" s="29"/>
      <c r="S462" s="29"/>
      <c r="T462" s="29"/>
      <c r="U462" s="29"/>
      <c r="V462" s="29"/>
    </row>
    <row r="463" spans="2:22">
      <c r="B463" s="55"/>
      <c r="C463" s="55"/>
      <c r="D463" s="227"/>
      <c r="E463" s="227"/>
      <c r="F463" s="267" t="s">
        <v>341</v>
      </c>
      <c r="G463" s="55">
        <f>J43</f>
        <v>0</v>
      </c>
      <c r="H463" s="55">
        <f>K43</f>
        <v>0</v>
      </c>
      <c r="I463" s="55">
        <f t="shared" ref="I463:I470" si="265">G463-H463</f>
        <v>0</v>
      </c>
      <c r="J463" s="260" t="e">
        <f t="shared" ref="J463:J472" si="266">I463/H463</f>
        <v>#DIV/0!</v>
      </c>
      <c r="K463" s="261"/>
      <c r="L463" s="261"/>
      <c r="M463" s="261"/>
      <c r="N463" s="227"/>
      <c r="O463" s="227"/>
      <c r="P463" s="227"/>
      <c r="Q463" s="29"/>
      <c r="R463" s="29"/>
      <c r="S463" s="29"/>
      <c r="T463" s="29"/>
      <c r="U463" s="29"/>
      <c r="V463" s="29"/>
    </row>
    <row r="464" spans="2:22">
      <c r="B464" s="55"/>
      <c r="C464" s="55"/>
      <c r="D464" s="227"/>
      <c r="E464" s="227"/>
      <c r="F464" s="267" t="s">
        <v>299</v>
      </c>
      <c r="G464" s="55">
        <f>J44</f>
        <v>0</v>
      </c>
      <c r="H464" s="55">
        <f>K44</f>
        <v>0</v>
      </c>
      <c r="I464" s="55">
        <f t="shared" si="265"/>
        <v>0</v>
      </c>
      <c r="J464" s="260" t="e">
        <f t="shared" si="266"/>
        <v>#DIV/0!</v>
      </c>
      <c r="K464" s="261"/>
      <c r="L464" s="261"/>
      <c r="M464" s="261"/>
      <c r="N464" s="227"/>
      <c r="O464" s="227"/>
      <c r="P464" s="227"/>
      <c r="Q464" s="29"/>
      <c r="R464" s="29"/>
      <c r="S464" s="29"/>
      <c r="T464" s="29"/>
      <c r="U464" s="29"/>
      <c r="V464" s="29"/>
    </row>
    <row r="465" spans="2:22">
      <c r="B465" s="55"/>
      <c r="C465" s="55"/>
      <c r="D465" s="227"/>
      <c r="E465" s="227"/>
      <c r="F465" s="267" t="s">
        <v>339</v>
      </c>
      <c r="G465" s="55">
        <f>J41</f>
        <v>0</v>
      </c>
      <c r="H465" s="55">
        <f>K41</f>
        <v>0</v>
      </c>
      <c r="I465" s="55">
        <f t="shared" si="265"/>
        <v>0</v>
      </c>
      <c r="J465" s="260" t="e">
        <f t="shared" ref="J465:J470" si="267">I465/H465</f>
        <v>#DIV/0!</v>
      </c>
      <c r="K465" s="261"/>
      <c r="L465" s="261"/>
      <c r="M465" s="261"/>
      <c r="N465" s="227"/>
      <c r="O465" s="227"/>
      <c r="P465" s="227"/>
      <c r="Q465" s="29"/>
      <c r="R465" s="29"/>
      <c r="S465" s="29"/>
      <c r="T465" s="29"/>
      <c r="U465" s="29"/>
      <c r="V465" s="29"/>
    </row>
    <row r="466" spans="2:22">
      <c r="B466" s="55"/>
      <c r="C466" s="55"/>
      <c r="D466" s="227"/>
      <c r="E466" s="227"/>
      <c r="F466" s="267" t="s">
        <v>340</v>
      </c>
      <c r="G466" s="55">
        <f>J42</f>
        <v>0</v>
      </c>
      <c r="H466" s="55">
        <f>K42</f>
        <v>0</v>
      </c>
      <c r="I466" s="55">
        <f t="shared" si="265"/>
        <v>0</v>
      </c>
      <c r="J466" s="260" t="e">
        <f t="shared" si="267"/>
        <v>#DIV/0!</v>
      </c>
      <c r="K466" s="261"/>
      <c r="L466" s="261"/>
      <c r="M466" s="261"/>
      <c r="N466" s="227"/>
      <c r="O466" s="227"/>
      <c r="P466" s="227"/>
      <c r="Q466" s="29"/>
      <c r="R466" s="29"/>
      <c r="S466" s="29"/>
      <c r="T466" s="29"/>
      <c r="U466" s="29"/>
      <c r="V466" s="29"/>
    </row>
    <row r="467" spans="2:22">
      <c r="B467" s="55"/>
      <c r="C467" s="55"/>
      <c r="D467" s="227"/>
      <c r="E467" s="227"/>
      <c r="F467" s="267" t="s">
        <v>300</v>
      </c>
      <c r="G467" s="55">
        <f>J47</f>
        <v>0</v>
      </c>
      <c r="H467" s="55">
        <f>K47</f>
        <v>0</v>
      </c>
      <c r="I467" s="55">
        <f t="shared" si="265"/>
        <v>0</v>
      </c>
      <c r="J467" s="260" t="e">
        <f t="shared" si="267"/>
        <v>#DIV/0!</v>
      </c>
      <c r="K467" s="261"/>
      <c r="L467" s="261"/>
      <c r="M467" s="261"/>
      <c r="N467" s="227"/>
      <c r="O467" s="227"/>
      <c r="P467" s="227"/>
      <c r="Q467" s="29"/>
      <c r="R467" s="29"/>
      <c r="S467" s="29"/>
      <c r="T467" s="29"/>
      <c r="U467" s="29"/>
      <c r="V467" s="29"/>
    </row>
    <row r="468" spans="2:22">
      <c r="B468" s="55"/>
      <c r="C468" s="55"/>
      <c r="D468" s="227"/>
      <c r="E468" s="227"/>
      <c r="F468" s="267" t="s">
        <v>301</v>
      </c>
      <c r="G468" s="55">
        <f>J48</f>
        <v>0</v>
      </c>
      <c r="H468" s="55">
        <f>K48</f>
        <v>0</v>
      </c>
      <c r="I468" s="55">
        <f t="shared" si="265"/>
        <v>0</v>
      </c>
      <c r="J468" s="260" t="e">
        <f t="shared" si="267"/>
        <v>#DIV/0!</v>
      </c>
      <c r="K468" s="261"/>
      <c r="L468" s="261"/>
      <c r="M468" s="261"/>
      <c r="N468" s="227"/>
      <c r="O468" s="227"/>
      <c r="P468" s="227"/>
      <c r="Q468" s="29"/>
      <c r="R468" s="29"/>
      <c r="S468" s="29"/>
      <c r="T468" s="29"/>
      <c r="U468" s="29"/>
      <c r="V468" s="29"/>
    </row>
    <row r="469" spans="2:22">
      <c r="B469" s="55"/>
      <c r="C469" s="55"/>
      <c r="D469" s="227"/>
      <c r="E469" s="227"/>
      <c r="F469" s="267" t="s">
        <v>342</v>
      </c>
      <c r="G469" s="55">
        <f>J45</f>
        <v>0</v>
      </c>
      <c r="H469" s="55">
        <f>K45</f>
        <v>0</v>
      </c>
      <c r="I469" s="55">
        <f t="shared" si="265"/>
        <v>0</v>
      </c>
      <c r="J469" s="260" t="e">
        <f t="shared" si="267"/>
        <v>#DIV/0!</v>
      </c>
      <c r="K469" s="261"/>
      <c r="L469" s="29"/>
      <c r="M469" s="261"/>
      <c r="N469" s="227"/>
      <c r="O469" s="227"/>
      <c r="P469" s="227"/>
      <c r="Q469" s="29"/>
      <c r="R469" s="29"/>
      <c r="S469" s="29"/>
      <c r="T469" s="29"/>
      <c r="U469" s="29"/>
      <c r="V469" s="29"/>
    </row>
    <row r="470" spans="2:22">
      <c r="B470" s="55"/>
      <c r="C470" s="55"/>
      <c r="D470" s="227"/>
      <c r="E470" s="227"/>
      <c r="F470" s="267" t="s">
        <v>302</v>
      </c>
      <c r="G470" s="55">
        <f>J46</f>
        <v>0</v>
      </c>
      <c r="H470" s="55">
        <f>K46</f>
        <v>0</v>
      </c>
      <c r="I470" s="55">
        <f t="shared" si="265"/>
        <v>0</v>
      </c>
      <c r="J470" s="260" t="e">
        <f t="shared" si="267"/>
        <v>#DIV/0!</v>
      </c>
      <c r="K470" s="261"/>
      <c r="L470" s="261"/>
      <c r="M470" s="261"/>
      <c r="N470" s="227"/>
      <c r="O470" s="227"/>
      <c r="P470" s="227"/>
      <c r="Q470" s="29"/>
      <c r="R470" s="29"/>
      <c r="S470" s="29"/>
      <c r="T470" s="29"/>
      <c r="U470" s="29"/>
      <c r="V470" s="29"/>
    </row>
    <row r="471" spans="2:22">
      <c r="B471" s="55"/>
      <c r="C471" s="55"/>
      <c r="D471" s="227"/>
      <c r="E471" s="227"/>
      <c r="F471" s="267" t="s">
        <v>211</v>
      </c>
      <c r="G471" s="55">
        <f>SUM(G463:G470)</f>
        <v>0</v>
      </c>
      <c r="H471" s="55">
        <f>SUM(H463:H470)</f>
        <v>0</v>
      </c>
      <c r="I471" s="55">
        <f>SUM(I463:I470)</f>
        <v>0</v>
      </c>
      <c r="J471" s="260" t="e">
        <f t="shared" si="266"/>
        <v>#DIV/0!</v>
      </c>
      <c r="K471" s="261"/>
      <c r="L471" s="254"/>
      <c r="M471" s="254"/>
      <c r="N471" s="227"/>
      <c r="O471" s="227"/>
      <c r="P471" s="227"/>
      <c r="Q471" s="29"/>
      <c r="R471" s="29"/>
      <c r="S471" s="29"/>
      <c r="T471" s="29"/>
      <c r="U471" s="29"/>
      <c r="V471" s="29"/>
    </row>
    <row r="472" spans="2:22">
      <c r="B472" s="55"/>
      <c r="C472" s="55"/>
      <c r="D472" s="227"/>
      <c r="E472" s="227"/>
      <c r="F472" s="267" t="s">
        <v>303</v>
      </c>
      <c r="G472" s="55">
        <f>J107</f>
        <v>0</v>
      </c>
      <c r="H472" s="55">
        <f>K107</f>
        <v>0</v>
      </c>
      <c r="I472" s="55">
        <f>G472-H472</f>
        <v>0</v>
      </c>
      <c r="J472" s="260" t="e">
        <f t="shared" si="266"/>
        <v>#DIV/0!</v>
      </c>
      <c r="K472" s="261"/>
      <c r="L472" s="254"/>
      <c r="M472" s="254"/>
      <c r="N472" s="227"/>
      <c r="O472" s="227"/>
      <c r="P472" s="227"/>
      <c r="Q472" s="29"/>
      <c r="R472" s="29"/>
      <c r="S472" s="29"/>
      <c r="T472" s="29"/>
      <c r="U472" s="29"/>
      <c r="V472" s="29"/>
    </row>
    <row r="473" spans="2:22">
      <c r="B473" s="260"/>
      <c r="C473" s="260"/>
      <c r="D473" s="227"/>
      <c r="E473" s="227"/>
      <c r="F473" s="267" t="s">
        <v>304</v>
      </c>
      <c r="G473" s="260" t="e">
        <f>G471/G472</f>
        <v>#DIV/0!</v>
      </c>
      <c r="H473" s="260" t="e">
        <f>H471/H472</f>
        <v>#DIV/0!</v>
      </c>
      <c r="I473" s="260" t="e">
        <f>G473-H473</f>
        <v>#DIV/0!</v>
      </c>
      <c r="J473" s="260"/>
      <c r="K473" s="261"/>
      <c r="L473" s="254"/>
      <c r="M473" s="254"/>
      <c r="N473" s="227"/>
      <c r="O473" s="227"/>
      <c r="P473" s="227"/>
      <c r="Q473" s="29"/>
      <c r="R473" s="29"/>
      <c r="S473" s="29"/>
      <c r="T473" s="29"/>
      <c r="U473" s="29"/>
      <c r="V473" s="29"/>
    </row>
    <row r="474" spans="2:22">
      <c r="B474" s="254"/>
      <c r="C474" s="254"/>
      <c r="D474" s="227"/>
      <c r="E474" s="227"/>
      <c r="F474" s="266"/>
      <c r="G474" s="254"/>
      <c r="H474" s="254"/>
      <c r="I474" s="254"/>
      <c r="J474" s="254"/>
      <c r="K474" s="254"/>
      <c r="L474" s="254"/>
      <c r="M474" s="254"/>
      <c r="N474" s="227"/>
      <c r="O474" s="227"/>
      <c r="P474" s="227"/>
      <c r="Q474" s="29"/>
      <c r="R474" s="29"/>
      <c r="S474" s="29"/>
      <c r="T474" s="29"/>
      <c r="U474" s="29"/>
      <c r="V474" s="29"/>
    </row>
    <row r="475" spans="2:22">
      <c r="B475" s="254"/>
      <c r="C475" s="254"/>
      <c r="D475" s="227"/>
      <c r="E475" s="227"/>
      <c r="F475" s="266" t="s">
        <v>266</v>
      </c>
      <c r="G475" s="254"/>
      <c r="H475" s="254"/>
      <c r="I475" s="254"/>
      <c r="J475" s="254"/>
      <c r="K475" s="254"/>
      <c r="L475" s="254"/>
      <c r="M475" s="254"/>
      <c r="N475" s="227"/>
      <c r="O475" s="227"/>
      <c r="P475" s="227"/>
      <c r="Q475" s="29"/>
      <c r="R475" s="29"/>
      <c r="S475" s="29"/>
      <c r="T475" s="29"/>
      <c r="U475" s="29"/>
      <c r="V475" s="29"/>
    </row>
    <row r="476" spans="2:22">
      <c r="B476" s="254"/>
      <c r="C476" s="254"/>
      <c r="D476" s="227"/>
      <c r="E476" s="227"/>
      <c r="F476" s="266"/>
      <c r="G476" s="254"/>
      <c r="H476" s="254"/>
      <c r="I476" s="254"/>
      <c r="J476" s="254"/>
      <c r="K476" s="254"/>
      <c r="L476" s="254"/>
      <c r="M476" s="254"/>
      <c r="N476" s="227"/>
      <c r="O476" s="227"/>
      <c r="P476" s="227"/>
      <c r="Q476" s="29"/>
      <c r="R476" s="29"/>
      <c r="S476" s="29"/>
      <c r="T476" s="29"/>
      <c r="U476" s="29"/>
      <c r="V476" s="29"/>
    </row>
    <row r="477" spans="2:22">
      <c r="B477" s="254"/>
      <c r="C477" s="254"/>
      <c r="D477" s="227"/>
      <c r="E477" s="227"/>
      <c r="F477" s="266"/>
      <c r="G477" s="254"/>
      <c r="H477" s="254"/>
      <c r="I477" s="254"/>
      <c r="J477" s="254"/>
      <c r="K477" s="254"/>
      <c r="L477" s="254"/>
      <c r="M477" s="254"/>
      <c r="N477" s="227"/>
      <c r="O477" s="227"/>
      <c r="P477" s="227"/>
      <c r="Q477" s="29"/>
      <c r="R477" s="29"/>
      <c r="S477" s="29"/>
      <c r="T477" s="29"/>
      <c r="U477" s="29"/>
      <c r="V477" s="29"/>
    </row>
    <row r="478" spans="2:22">
      <c r="B478" s="254"/>
      <c r="C478" s="254"/>
      <c r="D478" s="227"/>
      <c r="E478" s="227"/>
      <c r="F478" s="266"/>
      <c r="G478" s="254"/>
      <c r="H478" s="254"/>
      <c r="I478" s="254"/>
      <c r="J478" s="254"/>
      <c r="K478" s="254"/>
      <c r="L478" s="254"/>
      <c r="M478" s="254"/>
      <c r="N478" s="227"/>
      <c r="O478" s="227"/>
      <c r="P478" s="227"/>
      <c r="Q478" s="29"/>
      <c r="R478" s="29"/>
      <c r="S478" s="29"/>
      <c r="T478" s="29"/>
      <c r="U478" s="29"/>
      <c r="V478" s="29"/>
    </row>
    <row r="479" spans="2:22">
      <c r="B479" s="254"/>
      <c r="C479" s="254"/>
      <c r="D479" s="227"/>
      <c r="E479" s="254" t="s">
        <v>305</v>
      </c>
      <c r="G479" s="254"/>
      <c r="H479" s="254"/>
      <c r="I479" s="254"/>
      <c r="J479" s="254"/>
      <c r="K479" s="254"/>
      <c r="L479" s="254"/>
      <c r="M479" s="254"/>
      <c r="N479" s="227"/>
      <c r="O479" s="227"/>
      <c r="P479" s="227"/>
      <c r="Q479" s="29"/>
      <c r="R479" s="29"/>
      <c r="S479" s="29"/>
      <c r="T479" s="29"/>
      <c r="U479" s="29"/>
      <c r="V479" s="29"/>
    </row>
    <row r="480" spans="2:22">
      <c r="B480" s="254"/>
      <c r="C480" s="254"/>
      <c r="D480" s="227"/>
      <c r="E480" s="227"/>
      <c r="F480" s="254" t="s">
        <v>306</v>
      </c>
      <c r="G480" s="254"/>
      <c r="H480" s="254"/>
      <c r="I480" s="254"/>
      <c r="J480" s="254"/>
      <c r="K480" s="254"/>
      <c r="L480" s="254"/>
      <c r="M480" s="254"/>
      <c r="N480" s="227"/>
      <c r="O480" s="227"/>
      <c r="P480" s="227"/>
      <c r="Q480" s="29"/>
      <c r="R480" s="29"/>
      <c r="S480" s="29"/>
      <c r="T480" s="29"/>
      <c r="U480" s="29"/>
      <c r="V480" s="29"/>
    </row>
    <row r="481" spans="2:22">
      <c r="B481" s="256"/>
      <c r="C481" s="256"/>
      <c r="D481" s="227"/>
      <c r="E481" s="227"/>
      <c r="F481" s="255" t="s">
        <v>217</v>
      </c>
      <c r="G481" s="241">
        <f>G462</f>
        <v>0</v>
      </c>
      <c r="H481" s="241">
        <f>H462</f>
        <v>0</v>
      </c>
      <c r="I481" s="256" t="s">
        <v>288</v>
      </c>
      <c r="J481" s="256" t="s">
        <v>298</v>
      </c>
      <c r="K481" s="258"/>
      <c r="L481" s="258"/>
      <c r="M481" s="254"/>
      <c r="N481" s="227"/>
      <c r="O481" s="227"/>
      <c r="P481" s="227"/>
      <c r="Q481" s="29"/>
      <c r="R481" s="29"/>
      <c r="S481" s="29"/>
      <c r="T481" s="29"/>
      <c r="U481" s="29"/>
      <c r="V481" s="29"/>
    </row>
    <row r="482" spans="2:22">
      <c r="B482" s="259"/>
      <c r="C482" s="259"/>
      <c r="D482" s="227"/>
      <c r="E482" s="227"/>
      <c r="F482" s="268" t="s">
        <v>307</v>
      </c>
      <c r="G482" s="259" t="e">
        <f>J336*12/CurMonths</f>
        <v>#DIV/0!</v>
      </c>
      <c r="H482" s="259" t="e">
        <f>K336*12/PriorMonths</f>
        <v>#DIV/0!</v>
      </c>
      <c r="I482" s="259" t="e">
        <f t="shared" ref="I482:I487" si="268">G482-H482</f>
        <v>#DIV/0!</v>
      </c>
      <c r="J482" s="260" t="e">
        <f>I482/H482</f>
        <v>#DIV/0!</v>
      </c>
      <c r="K482" s="261"/>
      <c r="L482" s="254"/>
      <c r="M482" s="254"/>
      <c r="N482" s="227"/>
      <c r="O482" s="227"/>
      <c r="P482" s="227"/>
      <c r="Q482" s="29"/>
      <c r="R482" s="29"/>
      <c r="S482" s="29"/>
      <c r="T482" s="29"/>
      <c r="U482" s="29"/>
      <c r="V482" s="29"/>
    </row>
    <row r="483" spans="2:22">
      <c r="B483" s="259"/>
      <c r="C483" s="259"/>
      <c r="D483" s="227"/>
      <c r="E483" s="227"/>
      <c r="F483" s="268" t="s">
        <v>308</v>
      </c>
      <c r="G483" s="259">
        <f>H484</f>
        <v>0</v>
      </c>
      <c r="H483" s="382"/>
      <c r="I483" s="259">
        <f t="shared" si="268"/>
        <v>0</v>
      </c>
      <c r="J483" s="260" t="e">
        <f>I483/H483</f>
        <v>#DIV/0!</v>
      </c>
      <c r="K483" s="261"/>
      <c r="L483" s="254"/>
      <c r="M483" s="254"/>
      <c r="N483" s="227"/>
      <c r="O483" s="227"/>
      <c r="P483" s="227"/>
      <c r="Q483" s="29"/>
      <c r="R483" s="29"/>
      <c r="S483" s="29"/>
      <c r="T483" s="29"/>
      <c r="U483" s="29"/>
      <c r="V483" s="29"/>
    </row>
    <row r="484" spans="2:22">
      <c r="B484" s="259"/>
      <c r="C484" s="259"/>
      <c r="D484" s="227"/>
      <c r="E484" s="227"/>
      <c r="F484" s="268" t="s">
        <v>309</v>
      </c>
      <c r="G484" s="259">
        <f>G469+G470</f>
        <v>0</v>
      </c>
      <c r="H484" s="259">
        <f>H469+H470</f>
        <v>0</v>
      </c>
      <c r="I484" s="259">
        <f t="shared" si="268"/>
        <v>0</v>
      </c>
      <c r="J484" s="260" t="e">
        <f>I484/H484</f>
        <v>#DIV/0!</v>
      </c>
      <c r="K484" s="261"/>
      <c r="L484" s="254"/>
      <c r="M484" s="254"/>
      <c r="N484" s="227"/>
      <c r="O484" s="227"/>
      <c r="P484" s="227"/>
      <c r="Q484" s="29"/>
      <c r="R484" s="29"/>
      <c r="S484" s="29"/>
      <c r="T484" s="29"/>
      <c r="U484" s="29"/>
      <c r="V484" s="29"/>
    </row>
    <row r="485" spans="2:22">
      <c r="B485" s="259"/>
      <c r="C485" s="259"/>
      <c r="D485" s="227"/>
      <c r="E485" s="227"/>
      <c r="F485" s="268" t="s">
        <v>310</v>
      </c>
      <c r="G485" s="259">
        <f>AVERAGE(G483:G484)</f>
        <v>0</v>
      </c>
      <c r="H485" s="259">
        <f>AVERAGE(H483:H484)</f>
        <v>0</v>
      </c>
      <c r="I485" s="259">
        <f t="shared" si="268"/>
        <v>0</v>
      </c>
      <c r="J485" s="260" t="e">
        <f>I485/H485</f>
        <v>#DIV/0!</v>
      </c>
      <c r="K485" s="261"/>
      <c r="L485" s="254"/>
      <c r="M485" s="254"/>
      <c r="N485" s="227"/>
      <c r="O485" s="227"/>
      <c r="P485" s="227"/>
      <c r="Q485" s="29"/>
      <c r="R485" s="29"/>
      <c r="S485" s="29"/>
      <c r="T485" s="29"/>
      <c r="U485" s="29"/>
      <c r="V485" s="29"/>
    </row>
    <row r="486" spans="2:22">
      <c r="B486" s="262"/>
      <c r="C486" s="262"/>
      <c r="D486" s="227"/>
      <c r="E486" s="227"/>
      <c r="F486" s="268" t="s">
        <v>311</v>
      </c>
      <c r="G486" s="262" t="e">
        <f>G482/G485</f>
        <v>#DIV/0!</v>
      </c>
      <c r="H486" s="262" t="e">
        <f>H482/H485</f>
        <v>#DIV/0!</v>
      </c>
      <c r="I486" s="262" t="e">
        <f t="shared" si="268"/>
        <v>#DIV/0!</v>
      </c>
      <c r="J486" s="260"/>
      <c r="K486" s="261"/>
      <c r="L486" s="254"/>
      <c r="M486" s="254"/>
      <c r="N486" s="227"/>
      <c r="O486" s="227"/>
      <c r="P486" s="227"/>
      <c r="Q486" s="29"/>
      <c r="R486" s="29"/>
      <c r="S486" s="29"/>
      <c r="T486" s="29"/>
      <c r="U486" s="29"/>
      <c r="V486" s="29"/>
    </row>
    <row r="487" spans="2:22">
      <c r="B487" s="262"/>
      <c r="C487" s="262"/>
      <c r="D487" s="227"/>
      <c r="E487" s="227"/>
      <c r="F487" s="268" t="s">
        <v>312</v>
      </c>
      <c r="G487" s="262" t="e">
        <f>365/G486</f>
        <v>#DIV/0!</v>
      </c>
      <c r="H487" s="262" t="e">
        <f>365/H486</f>
        <v>#DIV/0!</v>
      </c>
      <c r="I487" s="262" t="e">
        <f t="shared" si="268"/>
        <v>#DIV/0!</v>
      </c>
      <c r="J487" s="260"/>
      <c r="K487" s="261"/>
      <c r="L487" s="263"/>
      <c r="M487" s="254"/>
      <c r="N487" s="227"/>
      <c r="O487" s="227"/>
      <c r="P487" s="227"/>
      <c r="Q487" s="29"/>
      <c r="R487" s="29"/>
      <c r="S487" s="29"/>
      <c r="T487" s="29"/>
      <c r="U487" s="29"/>
      <c r="V487" s="29"/>
    </row>
    <row r="488" spans="2:22">
      <c r="B488" s="254"/>
      <c r="C488" s="254"/>
      <c r="D488" s="227"/>
      <c r="E488" s="227"/>
      <c r="F488" s="254" t="s">
        <v>313</v>
      </c>
      <c r="G488" s="254"/>
      <c r="H488" s="254"/>
      <c r="I488" s="254"/>
      <c r="J488" s="254"/>
      <c r="K488" s="254"/>
      <c r="L488" s="254"/>
      <c r="M488" s="254"/>
      <c r="N488" s="227"/>
      <c r="O488" s="227"/>
      <c r="P488" s="227"/>
      <c r="Q488" s="29"/>
      <c r="R488" s="29"/>
      <c r="S488" s="29"/>
      <c r="T488" s="29"/>
      <c r="U488" s="29"/>
      <c r="V488" s="29"/>
    </row>
    <row r="489" spans="2:22">
      <c r="B489" s="254"/>
      <c r="C489" s="254"/>
      <c r="D489" s="227"/>
      <c r="E489" s="227"/>
      <c r="F489" s="269"/>
      <c r="G489" s="254"/>
      <c r="H489" s="254"/>
      <c r="I489" s="254"/>
      <c r="J489" s="254"/>
      <c r="K489" s="254"/>
      <c r="L489" s="254"/>
      <c r="M489" s="254"/>
      <c r="N489" s="227"/>
      <c r="O489" s="227"/>
      <c r="P489" s="227"/>
      <c r="Q489" s="29"/>
      <c r="R489" s="29"/>
      <c r="S489" s="29"/>
      <c r="T489" s="29"/>
      <c r="U489" s="29"/>
      <c r="V489" s="29"/>
    </row>
    <row r="490" spans="2:22">
      <c r="B490" s="254"/>
      <c r="C490" s="254"/>
      <c r="D490" s="227"/>
      <c r="E490" s="227"/>
      <c r="F490" s="254"/>
      <c r="G490" s="254"/>
      <c r="H490" s="254"/>
      <c r="I490" s="254"/>
      <c r="J490" s="254"/>
      <c r="K490" s="254"/>
      <c r="L490" s="254"/>
      <c r="M490" s="254"/>
      <c r="N490" s="227"/>
      <c r="O490" s="227"/>
      <c r="P490" s="227"/>
      <c r="Q490" s="29"/>
      <c r="R490" s="29"/>
      <c r="S490" s="29"/>
      <c r="T490" s="29"/>
      <c r="U490" s="29"/>
      <c r="V490" s="29"/>
    </row>
    <row r="491" spans="2:22">
      <c r="B491" s="254"/>
      <c r="C491" s="254"/>
      <c r="D491" s="227"/>
      <c r="E491" s="227"/>
      <c r="F491" s="254" t="s">
        <v>314</v>
      </c>
      <c r="G491" s="254"/>
      <c r="H491" s="254"/>
      <c r="I491" s="254"/>
      <c r="J491" s="254"/>
      <c r="K491" s="254"/>
      <c r="L491" s="254"/>
      <c r="M491" s="254"/>
      <c r="N491" s="227"/>
      <c r="O491" s="227"/>
      <c r="P491" s="227"/>
      <c r="Q491" s="29"/>
      <c r="R491" s="29"/>
      <c r="S491" s="29"/>
      <c r="T491" s="29"/>
      <c r="U491" s="29"/>
      <c r="V491" s="29"/>
    </row>
    <row r="492" spans="2:22">
      <c r="B492" s="256"/>
      <c r="C492" s="256"/>
      <c r="D492" s="227"/>
      <c r="E492" s="227"/>
      <c r="F492" s="166" t="s">
        <v>217</v>
      </c>
      <c r="G492" s="241">
        <f>G481</f>
        <v>0</v>
      </c>
      <c r="H492" s="241">
        <f>H481</f>
        <v>0</v>
      </c>
      <c r="I492" s="256" t="s">
        <v>288</v>
      </c>
      <c r="J492" s="256" t="s">
        <v>298</v>
      </c>
      <c r="K492" s="258"/>
      <c r="L492" s="270"/>
      <c r="M492" s="254"/>
      <c r="N492" s="227"/>
      <c r="O492" s="227"/>
      <c r="P492" s="227"/>
      <c r="Q492" s="29"/>
      <c r="R492" s="29"/>
      <c r="S492" s="29"/>
      <c r="T492" s="29"/>
      <c r="U492" s="29"/>
      <c r="V492" s="29"/>
    </row>
    <row r="493" spans="2:22">
      <c r="B493" s="259"/>
      <c r="C493" s="259"/>
      <c r="D493" s="227"/>
      <c r="E493" s="227"/>
      <c r="F493" s="268" t="s">
        <v>315</v>
      </c>
      <c r="G493" s="165" t="e">
        <f>J218*12/CurMonths</f>
        <v>#DIV/0!</v>
      </c>
      <c r="H493" s="165" t="e">
        <f>K218*12/PriorMonths</f>
        <v>#DIV/0!</v>
      </c>
      <c r="I493" s="259" t="e">
        <f t="shared" ref="I493:I498" si="269">G493-H493</f>
        <v>#DIV/0!</v>
      </c>
      <c r="J493" s="260" t="e">
        <f>I493/H493</f>
        <v>#DIV/0!</v>
      </c>
      <c r="K493" s="261"/>
      <c r="L493" s="116"/>
      <c r="M493" s="254"/>
      <c r="N493" s="227"/>
      <c r="O493" s="227"/>
      <c r="P493" s="227"/>
      <c r="Q493" s="29"/>
      <c r="R493" s="29"/>
      <c r="S493" s="29"/>
      <c r="T493" s="29"/>
      <c r="U493" s="29"/>
      <c r="V493" s="29"/>
    </row>
    <row r="494" spans="2:22">
      <c r="B494" s="259"/>
      <c r="C494" s="259"/>
      <c r="D494" s="227"/>
      <c r="E494" s="227"/>
      <c r="F494" s="268" t="s">
        <v>316</v>
      </c>
      <c r="G494" s="165">
        <f>H495</f>
        <v>0</v>
      </c>
      <c r="H494" s="371"/>
      <c r="I494" s="259">
        <f t="shared" si="269"/>
        <v>0</v>
      </c>
      <c r="J494" s="260" t="e">
        <f>I494/H494</f>
        <v>#DIV/0!</v>
      </c>
      <c r="K494" s="261"/>
      <c r="L494" s="116"/>
      <c r="M494" s="254"/>
      <c r="N494" s="227"/>
      <c r="O494" s="227"/>
      <c r="P494" s="227"/>
      <c r="Q494" s="29"/>
      <c r="R494" s="29"/>
      <c r="S494" s="29"/>
      <c r="T494" s="29"/>
      <c r="U494" s="29"/>
      <c r="V494" s="29"/>
    </row>
    <row r="495" spans="2:22">
      <c r="B495" s="259"/>
      <c r="C495" s="259"/>
      <c r="D495" s="227"/>
      <c r="E495" s="227"/>
      <c r="F495" s="268" t="s">
        <v>317</v>
      </c>
      <c r="G495" s="165">
        <f>G463+G464</f>
        <v>0</v>
      </c>
      <c r="H495" s="165">
        <f>H463+H464</f>
        <v>0</v>
      </c>
      <c r="I495" s="259">
        <f t="shared" si="269"/>
        <v>0</v>
      </c>
      <c r="J495" s="260" t="e">
        <f>I495/H495</f>
        <v>#DIV/0!</v>
      </c>
      <c r="K495" s="261"/>
      <c r="L495" s="116"/>
      <c r="M495" s="254"/>
      <c r="N495" s="227"/>
      <c r="O495" s="227"/>
      <c r="P495" s="227"/>
      <c r="Q495" s="29"/>
      <c r="R495" s="29"/>
      <c r="S495" s="29"/>
      <c r="T495" s="29"/>
      <c r="U495" s="29"/>
      <c r="V495" s="29"/>
    </row>
    <row r="496" spans="2:22">
      <c r="B496" s="259"/>
      <c r="C496" s="259"/>
      <c r="D496" s="227"/>
      <c r="E496" s="227"/>
      <c r="F496" s="268" t="s">
        <v>318</v>
      </c>
      <c r="G496" s="165">
        <f>SUM(G494:G495)/2</f>
        <v>0</v>
      </c>
      <c r="H496" s="165">
        <f>SUM(H494:H495)/2</f>
        <v>0</v>
      </c>
      <c r="I496" s="259">
        <f t="shared" si="269"/>
        <v>0</v>
      </c>
      <c r="J496" s="260" t="e">
        <f>I496/H496</f>
        <v>#DIV/0!</v>
      </c>
      <c r="K496" s="261"/>
      <c r="L496" s="116"/>
      <c r="M496" s="254"/>
      <c r="N496" s="227"/>
      <c r="O496" s="227"/>
      <c r="P496" s="227"/>
      <c r="Q496" s="29"/>
      <c r="R496" s="29"/>
      <c r="S496" s="29"/>
      <c r="T496" s="29"/>
      <c r="U496" s="29"/>
      <c r="V496" s="29"/>
    </row>
    <row r="497" spans="2:22">
      <c r="B497" s="262"/>
      <c r="C497" s="262"/>
      <c r="D497" s="227"/>
      <c r="E497" s="227"/>
      <c r="F497" s="268" t="s">
        <v>319</v>
      </c>
      <c r="G497" s="271" t="e">
        <f>G493/G496</f>
        <v>#DIV/0!</v>
      </c>
      <c r="H497" s="271" t="e">
        <f>H493/H496</f>
        <v>#DIV/0!</v>
      </c>
      <c r="I497" s="262" t="e">
        <f t="shared" si="269"/>
        <v>#DIV/0!</v>
      </c>
      <c r="J497" s="259"/>
      <c r="K497" s="254"/>
      <c r="L497" s="240"/>
      <c r="M497" s="254"/>
      <c r="N497" s="227"/>
      <c r="O497" s="227"/>
      <c r="P497" s="227"/>
      <c r="Q497" s="29"/>
      <c r="R497" s="29"/>
      <c r="S497" s="29"/>
      <c r="T497" s="29"/>
      <c r="U497" s="29"/>
      <c r="V497" s="29"/>
    </row>
    <row r="498" spans="2:22">
      <c r="B498" s="262"/>
      <c r="C498" s="262"/>
      <c r="D498" s="227"/>
      <c r="E498" s="227"/>
      <c r="F498" s="268" t="s">
        <v>320</v>
      </c>
      <c r="G498" s="271" t="e">
        <f>365/G497</f>
        <v>#DIV/0!</v>
      </c>
      <c r="H498" s="271" t="e">
        <f>365/H497</f>
        <v>#DIV/0!</v>
      </c>
      <c r="I498" s="262" t="e">
        <f t="shared" si="269"/>
        <v>#DIV/0!</v>
      </c>
      <c r="J498" s="259"/>
      <c r="K498" s="254"/>
      <c r="L498" s="240"/>
      <c r="M498" s="254"/>
      <c r="N498" s="227"/>
      <c r="O498" s="227"/>
      <c r="P498" s="227"/>
      <c r="Q498" s="29"/>
      <c r="R498" s="29"/>
      <c r="S498" s="29"/>
      <c r="T498" s="29"/>
      <c r="U498" s="29"/>
      <c r="V498" s="29"/>
    </row>
    <row r="499" spans="2:22">
      <c r="B499" s="254"/>
      <c r="C499" s="254"/>
      <c r="D499" s="227"/>
      <c r="E499" s="227"/>
      <c r="F499" s="254" t="s">
        <v>313</v>
      </c>
      <c r="G499" s="254"/>
      <c r="H499" s="254"/>
      <c r="I499" s="254"/>
      <c r="J499" s="254"/>
      <c r="K499" s="254"/>
      <c r="L499" s="254"/>
      <c r="M499" s="254"/>
      <c r="N499" s="227"/>
      <c r="O499" s="227"/>
      <c r="P499" s="227"/>
      <c r="Q499" s="29"/>
      <c r="R499" s="29"/>
      <c r="S499" s="29"/>
      <c r="T499" s="29"/>
      <c r="U499" s="29"/>
      <c r="V499" s="29"/>
    </row>
    <row r="500" spans="2:22">
      <c r="B500" s="254"/>
      <c r="C500" s="254"/>
      <c r="D500" s="227"/>
      <c r="E500" s="227"/>
      <c r="F500" s="266"/>
      <c r="G500" s="254"/>
      <c r="H500" s="254"/>
      <c r="I500" s="254"/>
      <c r="J500" s="254"/>
      <c r="K500" s="254"/>
      <c r="L500" s="254"/>
      <c r="M500" s="254"/>
      <c r="N500" s="227"/>
      <c r="O500" s="227"/>
      <c r="P500" s="227"/>
      <c r="Q500" s="29"/>
      <c r="R500" s="29"/>
      <c r="S500" s="29"/>
      <c r="T500" s="29"/>
      <c r="U500" s="29"/>
      <c r="V500" s="29"/>
    </row>
    <row r="501" spans="2:22">
      <c r="B501" s="254"/>
      <c r="C501" s="254"/>
      <c r="D501" s="227"/>
      <c r="E501" s="227"/>
      <c r="F501" s="266"/>
      <c r="G501" s="254"/>
      <c r="H501" s="254"/>
      <c r="I501" s="254"/>
      <c r="J501" s="254"/>
      <c r="K501" s="254"/>
      <c r="L501" s="254"/>
      <c r="M501" s="254"/>
      <c r="N501" s="227"/>
      <c r="O501" s="227"/>
      <c r="P501" s="227"/>
      <c r="Q501" s="29"/>
      <c r="R501" s="29"/>
      <c r="S501" s="29"/>
      <c r="T501" s="29"/>
      <c r="U501" s="29"/>
      <c r="V501" s="29"/>
    </row>
    <row r="502" spans="2:22">
      <c r="B502" s="254"/>
      <c r="C502" s="254"/>
      <c r="D502" s="227"/>
      <c r="E502" s="227"/>
      <c r="F502" s="254" t="s">
        <v>343</v>
      </c>
      <c r="G502" s="254"/>
      <c r="H502" s="254"/>
      <c r="I502" s="254"/>
      <c r="J502" s="254"/>
      <c r="K502" s="254"/>
      <c r="L502" s="254"/>
      <c r="M502" s="254"/>
      <c r="N502" s="227"/>
      <c r="O502" s="227"/>
      <c r="P502" s="227"/>
      <c r="Q502" s="29"/>
      <c r="R502" s="29"/>
      <c r="S502" s="29"/>
      <c r="T502" s="29"/>
      <c r="U502" s="29"/>
      <c r="V502" s="29"/>
    </row>
    <row r="503" spans="2:22">
      <c r="B503" s="256"/>
      <c r="C503" s="256"/>
      <c r="D503" s="227"/>
      <c r="E503" s="227"/>
      <c r="F503" s="166" t="s">
        <v>217</v>
      </c>
      <c r="G503" s="241">
        <f>G492</f>
        <v>0</v>
      </c>
      <c r="H503" s="241">
        <f>H492</f>
        <v>0</v>
      </c>
      <c r="I503" s="256" t="s">
        <v>288</v>
      </c>
      <c r="J503" s="256" t="s">
        <v>298</v>
      </c>
      <c r="K503" s="254"/>
      <c r="L503" s="254"/>
      <c r="M503" s="254"/>
      <c r="N503" s="227"/>
      <c r="O503" s="227"/>
      <c r="P503" s="227"/>
      <c r="Q503" s="29"/>
      <c r="R503" s="29"/>
      <c r="S503" s="29"/>
      <c r="T503" s="29"/>
      <c r="U503" s="29"/>
      <c r="V503" s="29"/>
    </row>
    <row r="504" spans="2:22">
      <c r="B504" s="259"/>
      <c r="C504" s="259"/>
      <c r="D504" s="227"/>
      <c r="E504" s="227"/>
      <c r="F504" s="268" t="s">
        <v>344</v>
      </c>
      <c r="G504" s="165" t="e">
        <f>J211*12/CurMonths</f>
        <v>#DIV/0!</v>
      </c>
      <c r="H504" s="165" t="e">
        <f>K211*12/PriorMonths</f>
        <v>#DIV/0!</v>
      </c>
      <c r="I504" s="259" t="e">
        <f t="shared" ref="I504:I509" si="270">G504-H504</f>
        <v>#DIV/0!</v>
      </c>
      <c r="J504" s="260" t="e">
        <f>I504/H504</f>
        <v>#DIV/0!</v>
      </c>
      <c r="K504" s="254"/>
      <c r="L504" s="254"/>
      <c r="M504" s="254"/>
      <c r="N504" s="227"/>
      <c r="O504" s="227"/>
      <c r="P504" s="227"/>
      <c r="Q504" s="29"/>
      <c r="R504" s="29"/>
      <c r="S504" s="29"/>
      <c r="T504" s="29"/>
      <c r="U504" s="29"/>
      <c r="V504" s="29"/>
    </row>
    <row r="505" spans="2:22">
      <c r="B505" s="259"/>
      <c r="C505" s="259"/>
      <c r="D505" s="227"/>
      <c r="E505" s="227"/>
      <c r="F505" s="268" t="s">
        <v>345</v>
      </c>
      <c r="G505" s="165">
        <f>H506</f>
        <v>0</v>
      </c>
      <c r="H505" s="371"/>
      <c r="I505" s="259">
        <f t="shared" si="270"/>
        <v>0</v>
      </c>
      <c r="J505" s="260" t="e">
        <f>I505/H505</f>
        <v>#DIV/0!</v>
      </c>
      <c r="K505" s="254"/>
      <c r="L505" s="254"/>
      <c r="M505" s="254"/>
      <c r="N505" s="227"/>
      <c r="O505" s="227"/>
      <c r="P505" s="227"/>
      <c r="Q505" s="29"/>
      <c r="R505" s="29"/>
      <c r="S505" s="29"/>
      <c r="T505" s="29"/>
      <c r="U505" s="29"/>
      <c r="V505" s="29"/>
    </row>
    <row r="506" spans="2:22">
      <c r="B506" s="259"/>
      <c r="C506" s="259"/>
      <c r="D506" s="227"/>
      <c r="E506" s="227"/>
      <c r="F506" s="268" t="s">
        <v>346</v>
      </c>
      <c r="G506" s="165">
        <f>G465+G466</f>
        <v>0</v>
      </c>
      <c r="H506" s="165">
        <f>H465+H466</f>
        <v>0</v>
      </c>
      <c r="I506" s="259">
        <f t="shared" si="270"/>
        <v>0</v>
      </c>
      <c r="J506" s="260" t="e">
        <f>I506/H506</f>
        <v>#DIV/0!</v>
      </c>
      <c r="K506" s="254"/>
      <c r="L506" s="254"/>
      <c r="M506" s="254"/>
      <c r="N506" s="227"/>
      <c r="O506" s="227"/>
      <c r="P506" s="227"/>
      <c r="Q506" s="29"/>
      <c r="R506" s="29"/>
      <c r="S506" s="29"/>
      <c r="T506" s="29"/>
      <c r="U506" s="29"/>
      <c r="V506" s="29"/>
    </row>
    <row r="507" spans="2:22">
      <c r="B507" s="259"/>
      <c r="C507" s="259"/>
      <c r="D507" s="227"/>
      <c r="E507" s="227"/>
      <c r="F507" s="268" t="s">
        <v>347</v>
      </c>
      <c r="G507" s="165">
        <f>SUM(G505:G506)/2</f>
        <v>0</v>
      </c>
      <c r="H507" s="165">
        <f>SUM(H505:H506)/2</f>
        <v>0</v>
      </c>
      <c r="I507" s="259">
        <f t="shared" si="270"/>
        <v>0</v>
      </c>
      <c r="J507" s="260" t="e">
        <f>I507/H507</f>
        <v>#DIV/0!</v>
      </c>
      <c r="K507" s="254"/>
      <c r="L507" s="254"/>
      <c r="M507" s="254"/>
      <c r="N507" s="227"/>
      <c r="O507" s="227"/>
      <c r="P507" s="227"/>
      <c r="Q507" s="29"/>
      <c r="R507" s="29"/>
      <c r="S507" s="29"/>
      <c r="T507" s="29"/>
      <c r="U507" s="29"/>
      <c r="V507" s="29"/>
    </row>
    <row r="508" spans="2:22">
      <c r="B508" s="262"/>
      <c r="C508" s="262"/>
      <c r="D508" s="227"/>
      <c r="E508" s="227"/>
      <c r="F508" s="268" t="s">
        <v>319</v>
      </c>
      <c r="G508" s="271" t="e">
        <f>G504/G507</f>
        <v>#DIV/0!</v>
      </c>
      <c r="H508" s="271" t="e">
        <f>H504/H507</f>
        <v>#DIV/0!</v>
      </c>
      <c r="I508" s="262" t="e">
        <f t="shared" si="270"/>
        <v>#DIV/0!</v>
      </c>
      <c r="J508" s="259"/>
      <c r="K508" s="254"/>
      <c r="L508" s="254"/>
      <c r="M508" s="254"/>
      <c r="N508" s="227"/>
      <c r="O508" s="227"/>
      <c r="P508" s="227"/>
      <c r="Q508" s="29"/>
      <c r="R508" s="29"/>
      <c r="S508" s="29"/>
      <c r="T508" s="29"/>
      <c r="U508" s="29"/>
      <c r="V508" s="29"/>
    </row>
    <row r="509" spans="2:22">
      <c r="B509" s="262"/>
      <c r="C509" s="262"/>
      <c r="D509" s="227"/>
      <c r="E509" s="227"/>
      <c r="F509" s="268" t="s">
        <v>320</v>
      </c>
      <c r="G509" s="271" t="e">
        <f>365/G508</f>
        <v>#DIV/0!</v>
      </c>
      <c r="H509" s="271" t="e">
        <f>365/H508</f>
        <v>#DIV/0!</v>
      </c>
      <c r="I509" s="262" t="e">
        <f t="shared" si="270"/>
        <v>#DIV/0!</v>
      </c>
      <c r="J509" s="259"/>
      <c r="K509" s="254"/>
      <c r="L509" s="254"/>
      <c r="M509" s="254"/>
      <c r="N509" s="227"/>
      <c r="O509" s="227"/>
      <c r="P509" s="227"/>
      <c r="Q509" s="29"/>
      <c r="R509" s="29"/>
      <c r="S509" s="29"/>
      <c r="T509" s="29"/>
      <c r="U509" s="29"/>
      <c r="V509" s="29"/>
    </row>
    <row r="510" spans="2:22">
      <c r="B510" s="254"/>
      <c r="C510" s="254"/>
      <c r="D510" s="227"/>
      <c r="E510" s="227"/>
      <c r="F510" s="254" t="s">
        <v>313</v>
      </c>
      <c r="G510" s="254"/>
      <c r="H510" s="254"/>
      <c r="I510" s="254"/>
      <c r="J510" s="254"/>
      <c r="K510" s="254"/>
      <c r="L510" s="254"/>
      <c r="M510" s="254"/>
      <c r="N510" s="227"/>
      <c r="O510" s="227"/>
      <c r="P510" s="227"/>
      <c r="Q510" s="29"/>
      <c r="R510" s="29"/>
      <c r="S510" s="29"/>
      <c r="T510" s="29"/>
      <c r="U510" s="29"/>
      <c r="V510" s="29"/>
    </row>
    <row r="511" spans="2:22">
      <c r="B511" s="254"/>
      <c r="C511" s="254"/>
      <c r="D511" s="227"/>
      <c r="E511" s="227"/>
      <c r="F511" s="266"/>
      <c r="G511" s="254"/>
      <c r="H511" s="254"/>
      <c r="I511" s="254"/>
      <c r="J511" s="254"/>
      <c r="K511" s="254"/>
      <c r="L511" s="254"/>
      <c r="M511" s="254"/>
      <c r="N511" s="227"/>
      <c r="O511" s="227"/>
      <c r="P511" s="227"/>
      <c r="Q511" s="29"/>
      <c r="R511" s="29"/>
      <c r="S511" s="29"/>
      <c r="T511" s="29"/>
      <c r="U511" s="29"/>
      <c r="V511" s="29"/>
    </row>
    <row r="512" spans="2:22">
      <c r="B512" s="254"/>
      <c r="C512" s="254"/>
      <c r="D512" s="227"/>
      <c r="E512" s="227"/>
      <c r="F512" s="266"/>
      <c r="G512" s="254"/>
      <c r="H512" s="254"/>
      <c r="I512" s="254"/>
      <c r="J512" s="254"/>
      <c r="K512" s="254"/>
      <c r="L512" s="254"/>
      <c r="M512" s="254"/>
      <c r="N512" s="227"/>
      <c r="O512" s="227"/>
      <c r="P512" s="227"/>
      <c r="Q512" s="29"/>
      <c r="R512" s="29"/>
      <c r="S512" s="29"/>
      <c r="T512" s="29"/>
      <c r="U512" s="29"/>
      <c r="V512" s="29"/>
    </row>
    <row r="513" spans="2:22">
      <c r="B513" s="254"/>
      <c r="C513" s="254"/>
      <c r="D513" s="227"/>
      <c r="E513" s="227"/>
      <c r="F513" s="272"/>
      <c r="G513" s="254"/>
      <c r="H513" s="254"/>
      <c r="I513" s="254"/>
      <c r="J513" s="254"/>
      <c r="K513" s="254"/>
      <c r="L513" s="254"/>
      <c r="M513" s="254"/>
      <c r="N513" s="227"/>
      <c r="O513" s="227"/>
      <c r="P513" s="227"/>
      <c r="Q513" s="29"/>
      <c r="R513" s="29"/>
      <c r="S513" s="29"/>
      <c r="T513" s="29"/>
      <c r="U513" s="29"/>
      <c r="V513" s="29"/>
    </row>
    <row r="514" spans="2:22">
      <c r="B514" s="254"/>
      <c r="C514" s="254"/>
      <c r="D514" s="272" t="s">
        <v>348</v>
      </c>
      <c r="E514" s="227"/>
      <c r="F514" s="227"/>
      <c r="G514" s="254"/>
      <c r="H514" s="254"/>
      <c r="I514" s="254"/>
      <c r="J514" s="254"/>
      <c r="K514" s="254"/>
      <c r="L514" s="227"/>
      <c r="M514" s="227"/>
      <c r="N514" s="227"/>
      <c r="O514" s="227"/>
      <c r="P514" s="227"/>
      <c r="Q514" s="29"/>
      <c r="R514" s="29"/>
      <c r="S514" s="29"/>
      <c r="T514" s="29"/>
      <c r="U514" s="29"/>
      <c r="V514" s="29"/>
    </row>
    <row r="515" spans="2:22">
      <c r="B515" s="255"/>
      <c r="C515" s="255"/>
      <c r="D515" s="254"/>
      <c r="E515" s="227"/>
      <c r="F515" s="255" t="s">
        <v>262</v>
      </c>
      <c r="G515" s="241">
        <f>G492</f>
        <v>0</v>
      </c>
      <c r="H515" s="241">
        <f>H492</f>
        <v>0</v>
      </c>
      <c r="I515" s="255" t="s">
        <v>274</v>
      </c>
      <c r="J515" s="255" t="s">
        <v>275</v>
      </c>
      <c r="K515" s="257"/>
      <c r="L515" s="227"/>
      <c r="M515" s="227"/>
      <c r="N515" s="227"/>
      <c r="O515" s="227"/>
      <c r="P515" s="227"/>
      <c r="Q515" s="29"/>
      <c r="R515" s="29"/>
      <c r="S515" s="29"/>
      <c r="T515" s="29"/>
      <c r="U515" s="29"/>
      <c r="V515" s="29"/>
    </row>
    <row r="516" spans="2:22">
      <c r="B516" s="259"/>
      <c r="C516" s="259"/>
      <c r="D516" s="254"/>
      <c r="E516" s="227"/>
      <c r="F516" s="273" t="s">
        <v>307</v>
      </c>
      <c r="G516" s="259" t="e">
        <f>G482</f>
        <v>#DIV/0!</v>
      </c>
      <c r="H516" s="259" t="e">
        <f>H482</f>
        <v>#DIV/0!</v>
      </c>
      <c r="I516" s="259" t="e">
        <f t="shared" ref="I516:I521" si="271">G516-H516</f>
        <v>#DIV/0!</v>
      </c>
      <c r="J516" s="260" t="e">
        <f>I516/H516</f>
        <v>#DIV/0!</v>
      </c>
      <c r="K516" s="261"/>
      <c r="L516" s="227"/>
      <c r="M516" s="227"/>
      <c r="N516" s="227"/>
      <c r="O516" s="227"/>
      <c r="P516" s="227"/>
      <c r="Q516" s="29"/>
      <c r="R516" s="29"/>
      <c r="S516" s="29"/>
      <c r="T516" s="29"/>
      <c r="U516" s="29"/>
      <c r="V516" s="29"/>
    </row>
    <row r="517" spans="2:22">
      <c r="B517" s="259"/>
      <c r="C517" s="259"/>
      <c r="D517" s="254"/>
      <c r="E517" s="227"/>
      <c r="F517" s="259" t="s">
        <v>321</v>
      </c>
      <c r="G517" s="259">
        <f>H518</f>
        <v>0</v>
      </c>
      <c r="H517" s="382"/>
      <c r="I517" s="259">
        <f t="shared" si="271"/>
        <v>0</v>
      </c>
      <c r="J517" s="260" t="e">
        <f>I517/H517</f>
        <v>#DIV/0!</v>
      </c>
      <c r="K517" s="261"/>
      <c r="L517" s="227"/>
      <c r="M517" s="227"/>
      <c r="N517" s="227"/>
      <c r="O517" s="227"/>
      <c r="P517" s="227"/>
      <c r="Q517" s="29"/>
      <c r="R517" s="29"/>
      <c r="S517" s="29"/>
      <c r="T517" s="29"/>
      <c r="U517" s="29"/>
      <c r="V517" s="29"/>
    </row>
    <row r="518" spans="2:22">
      <c r="B518" s="259"/>
      <c r="C518" s="259"/>
      <c r="D518" s="254"/>
      <c r="E518" s="227"/>
      <c r="F518" s="259" t="s">
        <v>322</v>
      </c>
      <c r="G518" s="259">
        <f>J110</f>
        <v>0</v>
      </c>
      <c r="H518" s="259">
        <f>K110</f>
        <v>0</v>
      </c>
      <c r="I518" s="259">
        <f t="shared" si="271"/>
        <v>0</v>
      </c>
      <c r="J518" s="260" t="e">
        <f>I518/H518</f>
        <v>#DIV/0!</v>
      </c>
      <c r="K518" s="261"/>
      <c r="L518" s="227"/>
      <c r="M518" s="227"/>
      <c r="N518" s="227"/>
      <c r="O518" s="227"/>
      <c r="P518" s="227"/>
      <c r="Q518" s="29"/>
      <c r="R518" s="29"/>
      <c r="S518" s="29"/>
      <c r="T518" s="29"/>
      <c r="U518" s="29"/>
      <c r="V518" s="29"/>
    </row>
    <row r="519" spans="2:22">
      <c r="B519" s="259"/>
      <c r="C519" s="259"/>
      <c r="D519" s="254"/>
      <c r="E519" s="227"/>
      <c r="F519" s="259" t="s">
        <v>323</v>
      </c>
      <c r="G519" s="259">
        <f>AVERAGE(G517:G518)</f>
        <v>0</v>
      </c>
      <c r="H519" s="259">
        <f>AVERAGE(H517:H518)</f>
        <v>0</v>
      </c>
      <c r="I519" s="259">
        <f t="shared" si="271"/>
        <v>0</v>
      </c>
      <c r="J519" s="260" t="e">
        <f>I519/H519</f>
        <v>#DIV/0!</v>
      </c>
      <c r="K519" s="261"/>
      <c r="L519" s="227"/>
      <c r="M519" s="227"/>
      <c r="N519" s="227"/>
      <c r="O519" s="227"/>
      <c r="P519" s="227"/>
      <c r="Q519" s="29"/>
      <c r="R519" s="29"/>
      <c r="S519" s="29"/>
      <c r="T519" s="29"/>
      <c r="U519" s="29"/>
      <c r="V519" s="29"/>
    </row>
    <row r="520" spans="2:22">
      <c r="B520" s="262"/>
      <c r="C520" s="262"/>
      <c r="D520" s="254"/>
      <c r="E520" s="227"/>
      <c r="F520" s="259" t="s">
        <v>324</v>
      </c>
      <c r="G520" s="262" t="e">
        <f>G516/G519</f>
        <v>#DIV/0!</v>
      </c>
      <c r="H520" s="262" t="e">
        <f>H516/H519</f>
        <v>#DIV/0!</v>
      </c>
      <c r="I520" s="262" t="e">
        <f t="shared" si="271"/>
        <v>#DIV/0!</v>
      </c>
      <c r="J520" s="259"/>
      <c r="K520" s="254"/>
      <c r="L520" s="227"/>
      <c r="M520" s="227"/>
      <c r="N520" s="227"/>
      <c r="O520" s="227"/>
      <c r="P520" s="227"/>
      <c r="Q520" s="29"/>
      <c r="R520" s="29"/>
      <c r="S520" s="29"/>
      <c r="T520" s="29"/>
      <c r="U520" s="29"/>
      <c r="V520" s="29"/>
    </row>
    <row r="521" spans="2:22">
      <c r="B521" s="262"/>
      <c r="C521" s="262"/>
      <c r="D521" s="254"/>
      <c r="E521" s="227"/>
      <c r="F521" s="259" t="s">
        <v>325</v>
      </c>
      <c r="G521" s="262" t="e">
        <f>365/G520</f>
        <v>#DIV/0!</v>
      </c>
      <c r="H521" s="262" t="e">
        <f>365/H520</f>
        <v>#DIV/0!</v>
      </c>
      <c r="I521" s="262" t="e">
        <f t="shared" si="271"/>
        <v>#DIV/0!</v>
      </c>
      <c r="J521" s="259"/>
      <c r="K521" s="254"/>
      <c r="L521" s="227"/>
      <c r="M521" s="227"/>
      <c r="N521" s="227"/>
      <c r="O521" s="227"/>
      <c r="P521" s="227"/>
      <c r="Q521" s="29"/>
      <c r="R521" s="29"/>
      <c r="S521" s="29"/>
      <c r="T521" s="29"/>
      <c r="U521" s="29"/>
      <c r="V521" s="29"/>
    </row>
    <row r="522" spans="2:22">
      <c r="B522" s="254"/>
      <c r="C522" s="254"/>
      <c r="D522" s="227"/>
      <c r="E522" s="227"/>
      <c r="F522" s="254" t="s">
        <v>295</v>
      </c>
      <c r="G522" s="254"/>
      <c r="H522" s="254"/>
      <c r="I522" s="254"/>
      <c r="J522" s="254"/>
      <c r="K522" s="254"/>
      <c r="L522" s="227"/>
      <c r="M522" s="227"/>
      <c r="N522" s="227"/>
      <c r="O522" s="227"/>
      <c r="P522" s="227"/>
      <c r="Q522" s="29"/>
      <c r="R522" s="29"/>
      <c r="S522" s="29"/>
      <c r="T522" s="29"/>
      <c r="U522" s="29"/>
      <c r="V522" s="29"/>
    </row>
    <row r="523" spans="2:22">
      <c r="B523" s="227"/>
      <c r="C523" s="227"/>
      <c r="D523" s="227"/>
      <c r="E523" s="227"/>
      <c r="F523" s="254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9"/>
      <c r="R523" s="29"/>
      <c r="S523" s="29"/>
      <c r="T523" s="29"/>
      <c r="U523" s="29"/>
      <c r="V523" s="29"/>
    </row>
    <row r="524" spans="2:22"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9"/>
      <c r="R524" s="29"/>
      <c r="S524" s="29"/>
      <c r="T524" s="29"/>
      <c r="U524" s="29"/>
      <c r="V524" s="29"/>
    </row>
    <row r="525" spans="2:22"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9"/>
      <c r="R525" s="29"/>
      <c r="S525" s="29"/>
      <c r="T525" s="29"/>
      <c r="U525" s="29"/>
      <c r="V525" s="29"/>
    </row>
  </sheetData>
  <autoFilter ref="B13:S374" xr:uid="{00000000-0001-0000-0400-000000000000}"/>
  <mergeCells count="6">
    <mergeCell ref="T11:T13"/>
    <mergeCell ref="K378:L378"/>
    <mergeCell ref="P11:R11"/>
    <mergeCell ref="L11:M11"/>
    <mergeCell ref="S204:S205"/>
    <mergeCell ref="S331:S332"/>
  </mergeCells>
  <phoneticPr fontId="7" type="noConversion"/>
  <conditionalFormatting sqref="A1:G2 H1:R3 T1:XFD11 D3:G5 A3:C9 L4:R4 H4:I5 K5:M8 P5:R8 D6:I6 H7:I8 D7:G17 H9:R10 B10:C10 A10:A17 K11:L11 N11:R11 K12:R12 U12:XFD13 B13:C17 H13:R17 T14:XFD16 T17:V17 X17:XFD17 T17:T28 U18:XFD19 A18:R201 U20:V28 W20:W29 X20:Z30 AA20:XFD37 W31:Z34 W38:XFD43 B202:C203 H202:R203 D202:G205 A202:A375 K204:R205 B206:R328 B329:C330 H329:R330 D329:G332 K331:R332 B333:R375 L379:L380 L382 B402:C403 G402:I403 B433:C435 G433:I435 B441:C443 G441:I443 B450:C453 G450:I453 B463:C472 G463:I472 A526:XFD1048576">
    <cfRule type="containsText" dxfId="5" priority="220" operator="containsText" text="TRUE">
      <formula>NOT(ISERROR(SEARCH("TRUE",A1)))</formula>
    </cfRule>
  </conditionalFormatting>
  <conditionalFormatting sqref="K6:L6">
    <cfRule type="containsBlanks" dxfId="4" priority="221">
      <formula>LEN(TRIM(K6))=0</formula>
    </cfRule>
  </conditionalFormatting>
  <conditionalFormatting sqref="K8:L8">
    <cfRule type="containsBlanks" dxfId="3" priority="222">
      <formula>LEN(TRIM(K8))=0</formula>
    </cfRule>
  </conditionalFormatting>
  <conditionalFormatting sqref="S1:S375">
    <cfRule type="containsText" dxfId="2" priority="7" operator="containsText" text="TRUE">
      <formula>NOT(ISERROR(SEARCH("TRUE",S1)))</formula>
    </cfRule>
  </conditionalFormatting>
  <conditionalFormatting sqref="T29:V43">
    <cfRule type="containsText" dxfId="1" priority="212" operator="containsText" text="TRUE">
      <formula>NOT(ISERROR(SEARCH("TRUE",T29)))</formula>
    </cfRule>
  </conditionalFormatting>
  <conditionalFormatting sqref="T44:XFD375">
    <cfRule type="containsText" dxfId="0" priority="84" operator="containsText" text="TRUE">
      <formula>NOT(ISERROR(SEARCH("TRUE",T44)))</formula>
    </cfRule>
  </conditionalFormatting>
  <dataValidations disablePrompts="1" count="1">
    <dataValidation type="list" allowBlank="1" showInputMessage="1" sqref="M8" xr:uid="{19220170-BCD4-451E-9471-B87D0480E577}">
      <formula1>"No Rounding,000s, Millions"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headerFooter>
    <oddFooter>&amp;R
&amp;F</oddFooter>
  </headerFooter>
  <rowBreaks count="2" manualBreakCount="2">
    <brk id="53" max="20" man="1"/>
    <brk id="2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사용안내</vt:lpstr>
      <vt:lpstr>공시BS</vt:lpstr>
      <vt:lpstr>공시IS</vt:lpstr>
      <vt:lpstr>공시CIE</vt:lpstr>
      <vt:lpstr>공시CF</vt:lpstr>
      <vt:lpstr>왜곡표시</vt:lpstr>
      <vt:lpstr>FAR</vt:lpstr>
      <vt:lpstr>CurMonths</vt:lpstr>
      <vt:lpstr>FAR!Print_Area</vt:lpstr>
      <vt:lpstr>공시IS!Print_Area</vt:lpstr>
      <vt:lpstr>왜곡표시!Print_Area</vt:lpstr>
      <vt:lpstr>PriorMonths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2026-09-30T06:19:14Z</dcterms:created>
  <dcterms:modified xsi:type="dcterms:W3CDTF">2026-09-30T07:04:08Z</dcterms:modified>
</cp:coreProperties>
</file>