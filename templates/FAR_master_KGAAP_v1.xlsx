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현재_통합_문서" defaultThemeVersion="124226"/>
  <xr:revisionPtr revIDLastSave="0" documentId="8_{E5F11DCC-849E-45C5-B93F-EBEE7A7F4917}" xr6:coauthVersionLast="47" xr6:coauthVersionMax="47" xr10:uidLastSave="{00000000-0000-0000-0000-000000000000}"/>
  <bookViews>
    <workbookView xWindow="-120" yWindow="-120" windowWidth="29040" windowHeight="15720" tabRatio="789" activeTab="3" xr2:uid="{DF1BC0A9-5276-4427-9274-D60DAF0ED6B0}"/>
  </bookViews>
  <sheets>
    <sheet name="사용안내" sheetId="18" r:id="rId1"/>
    <sheet name="공시BS" sheetId="7" r:id="rId2"/>
    <sheet name="공시IS" sheetId="8" r:id="rId3"/>
    <sheet name="왜곡표시" sheetId="12" r:id="rId4"/>
    <sheet name="FAR" sheetId="6" r:id="rId5"/>
  </sheets>
  <externalReferences>
    <externalReference r:id="rId6"/>
  </externalReferences>
  <definedNames>
    <definedName name="_xlnm._FilterDatabase" localSheetId="4" hidden="1">FAR!#REF!</definedName>
    <definedName name="CurMonths">FAR!$P$5</definedName>
    <definedName name="_xlnm.Print_Area" localSheetId="4">FAR!$A$1:$V$12</definedName>
    <definedName name="_xlnm.Print_Area" localSheetId="2">공시IS!$A$1:$G$6</definedName>
    <definedName name="_xlnm.Print_Area" localSheetId="3">왜곡표시!$A$1:$N$65</definedName>
    <definedName name="_xlnm.Print_Area">[1]합손!#REF!</definedName>
    <definedName name="_xlnm.Print_Titles">#N/A</definedName>
    <definedName name="PriorMonths">FAR!$P$6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8" l="1"/>
  <c r="E80" i="8"/>
  <c r="F79" i="8"/>
  <c r="E78" i="8"/>
  <c r="F77" i="8"/>
  <c r="E75" i="8"/>
  <c r="E74" i="8"/>
  <c r="E73" i="8"/>
  <c r="E72" i="8"/>
  <c r="E71" i="8"/>
  <c r="E70" i="8"/>
  <c r="E69" i="8"/>
  <c r="E68" i="8"/>
  <c r="F67" i="8"/>
  <c r="E66" i="8"/>
  <c r="E65" i="8"/>
  <c r="E64" i="8"/>
  <c r="E63" i="8"/>
  <c r="E62" i="8"/>
  <c r="E61" i="8"/>
  <c r="E60" i="8"/>
  <c r="F59" i="8"/>
  <c r="E57" i="8"/>
  <c r="E56" i="8"/>
  <c r="E55" i="8"/>
  <c r="E54" i="8"/>
  <c r="E53" i="8"/>
  <c r="E52" i="8"/>
  <c r="F36" i="8" s="1"/>
  <c r="I36" i="8" s="1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5" i="8"/>
  <c r="E34" i="8"/>
  <c r="E33" i="8"/>
  <c r="E32" i="8"/>
  <c r="E31" i="8"/>
  <c r="F30" i="8" s="1"/>
  <c r="E27" i="8"/>
  <c r="E26" i="8"/>
  <c r="E25" i="8"/>
  <c r="E24" i="8"/>
  <c r="E23" i="8"/>
  <c r="F22" i="8"/>
  <c r="E21" i="8"/>
  <c r="E20" i="8"/>
  <c r="E19" i="8"/>
  <c r="E18" i="8"/>
  <c r="E17" i="8"/>
  <c r="E16" i="8"/>
  <c r="E15" i="8"/>
  <c r="E14" i="8"/>
  <c r="F13" i="8"/>
  <c r="F12" i="8"/>
  <c r="E11" i="8"/>
  <c r="E10" i="8"/>
  <c r="E9" i="8"/>
  <c r="E8" i="8"/>
  <c r="F7" i="8"/>
  <c r="A4" i="8"/>
  <c r="E106" i="7"/>
  <c r="E105" i="7"/>
  <c r="E104" i="7"/>
  <c r="E103" i="7"/>
  <c r="F102" i="7"/>
  <c r="E101" i="7"/>
  <c r="E100" i="7"/>
  <c r="F99" i="7"/>
  <c r="E98" i="7"/>
  <c r="E97" i="7"/>
  <c r="F96" i="7"/>
  <c r="E95" i="7"/>
  <c r="E94" i="7"/>
  <c r="F93" i="7"/>
  <c r="E92" i="7"/>
  <c r="F91" i="7"/>
  <c r="E88" i="7"/>
  <c r="E87" i="7"/>
  <c r="E86" i="7"/>
  <c r="E85" i="7"/>
  <c r="E84" i="7"/>
  <c r="F83" i="7"/>
  <c r="E82" i="7"/>
  <c r="E81" i="7"/>
  <c r="E80" i="7"/>
  <c r="E79" i="7"/>
  <c r="E78" i="7"/>
  <c r="E77" i="7"/>
  <c r="E76" i="7"/>
  <c r="E75" i="7"/>
  <c r="E74" i="7"/>
  <c r="E73" i="7"/>
  <c r="F72" i="7"/>
  <c r="E69" i="7"/>
  <c r="E68" i="7"/>
  <c r="E67" i="7"/>
  <c r="E66" i="7"/>
  <c r="F65" i="7"/>
  <c r="E64" i="7"/>
  <c r="E63" i="7"/>
  <c r="E62" i="7"/>
  <c r="E61" i="7"/>
  <c r="F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F44" i="7"/>
  <c r="E43" i="7"/>
  <c r="E42" i="7"/>
  <c r="E41" i="7"/>
  <c r="E40" i="7"/>
  <c r="E39" i="7"/>
  <c r="E38" i="7"/>
  <c r="E37" i="7"/>
  <c r="F36" i="7"/>
  <c r="F35" i="7" s="1"/>
  <c r="I35" i="7" s="1"/>
  <c r="E34" i="7"/>
  <c r="E33" i="7"/>
  <c r="E32" i="7"/>
  <c r="E31" i="7"/>
  <c r="E30" i="7"/>
  <c r="E29" i="7"/>
  <c r="E28" i="7"/>
  <c r="E27" i="7"/>
  <c r="E26" i="7"/>
  <c r="F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F9" i="7" s="1"/>
  <c r="H390" i="6"/>
  <c r="H391" i="6" s="1"/>
  <c r="G389" i="6"/>
  <c r="H354" i="6"/>
  <c r="H342" i="6"/>
  <c r="H341" i="6"/>
  <c r="H340" i="6"/>
  <c r="H339" i="6"/>
  <c r="H338" i="6"/>
  <c r="H337" i="6"/>
  <c r="H378" i="6" s="1"/>
  <c r="H336" i="6"/>
  <c r="H335" i="6"/>
  <c r="H324" i="6"/>
  <c r="H325" i="6" s="1"/>
  <c r="G323" i="6"/>
  <c r="H314" i="6"/>
  <c r="H313" i="6"/>
  <c r="H315" i="6" s="1"/>
  <c r="H275" i="6"/>
  <c r="H293" i="6" s="1"/>
  <c r="H274" i="6"/>
  <c r="H283" i="6" s="1"/>
  <c r="L257" i="6"/>
  <c r="L266" i="6" s="1"/>
  <c r="I257" i="6"/>
  <c r="I266" i="6" s="1"/>
  <c r="K256" i="6"/>
  <c r="J266" i="6" s="1"/>
  <c r="H250" i="6"/>
  <c r="H257" i="6" s="1"/>
  <c r="H266" i="6" s="1"/>
  <c r="H273" i="6" s="1"/>
  <c r="H282" i="6" s="1"/>
  <c r="H292" i="6" s="1"/>
  <c r="H304" i="6" s="1"/>
  <c r="K204" i="6"/>
  <c r="G205" i="6"/>
  <c r="J205" i="6" s="1"/>
  <c r="G116" i="6"/>
  <c r="I246" i="6"/>
  <c r="H246" i="6"/>
  <c r="K220" i="6"/>
  <c r="G220" i="6"/>
  <c r="K213" i="6"/>
  <c r="H306" i="6" s="1"/>
  <c r="G213" i="6"/>
  <c r="K207" i="6"/>
  <c r="K240" i="6" s="1"/>
  <c r="K245" i="6" s="1"/>
  <c r="K246" i="6" s="1"/>
  <c r="G207" i="6"/>
  <c r="G240" i="6" s="1"/>
  <c r="G245" i="6" s="1"/>
  <c r="G246" i="6" s="1"/>
  <c r="I202" i="6"/>
  <c r="H202" i="6"/>
  <c r="J202" i="6" s="1"/>
  <c r="K195" i="6"/>
  <c r="G195" i="6"/>
  <c r="K193" i="6"/>
  <c r="G193" i="6"/>
  <c r="K183" i="6"/>
  <c r="G183" i="6"/>
  <c r="K175" i="6"/>
  <c r="G175" i="6"/>
  <c r="K150" i="6"/>
  <c r="G150" i="6"/>
  <c r="K144" i="6"/>
  <c r="H305" i="6" s="1"/>
  <c r="H307" i="6" s="1"/>
  <c r="G144" i="6"/>
  <c r="K143" i="6"/>
  <c r="G143" i="6"/>
  <c r="K133" i="6"/>
  <c r="G133" i="6"/>
  <c r="G141" i="6" s="1"/>
  <c r="K124" i="6"/>
  <c r="G124" i="6"/>
  <c r="G142" i="6" s="1"/>
  <c r="K123" i="6"/>
  <c r="G123" i="6"/>
  <c r="K118" i="6"/>
  <c r="G118" i="6"/>
  <c r="I110" i="6"/>
  <c r="I113" i="6" s="1"/>
  <c r="H66" i="12" s="1"/>
  <c r="H110" i="6"/>
  <c r="H113" i="6" s="1"/>
  <c r="G66" i="12" s="1"/>
  <c r="K106" i="6"/>
  <c r="G106" i="6"/>
  <c r="K103" i="6"/>
  <c r="G103" i="6"/>
  <c r="K100" i="6"/>
  <c r="G100" i="6"/>
  <c r="K97" i="6"/>
  <c r="G97" i="6"/>
  <c r="K95" i="6"/>
  <c r="K111" i="6" s="1"/>
  <c r="G95" i="6"/>
  <c r="G111" i="6" s="1"/>
  <c r="K88" i="6"/>
  <c r="G88" i="6"/>
  <c r="K77" i="6"/>
  <c r="G77" i="6"/>
  <c r="K71" i="6"/>
  <c r="G71" i="6"/>
  <c r="K66" i="6"/>
  <c r="G66" i="6"/>
  <c r="K50" i="6"/>
  <c r="G50" i="6"/>
  <c r="K42" i="6"/>
  <c r="G42" i="6"/>
  <c r="K41" i="6"/>
  <c r="G41" i="6"/>
  <c r="K31" i="6"/>
  <c r="G31" i="6"/>
  <c r="K15" i="6"/>
  <c r="G15" i="6"/>
  <c r="G14" i="6" s="1"/>
  <c r="G76" i="6" s="1"/>
  <c r="K14" i="6"/>
  <c r="J244" i="6"/>
  <c r="L244" i="6" s="1"/>
  <c r="M244" i="6" s="1"/>
  <c r="J243" i="6"/>
  <c r="L243" i="6" s="1"/>
  <c r="M243" i="6" s="1"/>
  <c r="J242" i="6"/>
  <c r="L242" i="6" s="1"/>
  <c r="M242" i="6" s="1"/>
  <c r="J241" i="6"/>
  <c r="L241" i="6" s="1"/>
  <c r="M241" i="6" s="1"/>
  <c r="J239" i="6"/>
  <c r="L239" i="6" s="1"/>
  <c r="M239" i="6" s="1"/>
  <c r="J238" i="6"/>
  <c r="L238" i="6" s="1"/>
  <c r="M238" i="6" s="1"/>
  <c r="J237" i="6"/>
  <c r="L237" i="6" s="1"/>
  <c r="M237" i="6" s="1"/>
  <c r="J236" i="6"/>
  <c r="L236" i="6" s="1"/>
  <c r="M236" i="6" s="1"/>
  <c r="J235" i="6"/>
  <c r="L235" i="6" s="1"/>
  <c r="M235" i="6" s="1"/>
  <c r="J234" i="6"/>
  <c r="L234" i="6" s="1"/>
  <c r="M234" i="6" s="1"/>
  <c r="J233" i="6"/>
  <c r="L233" i="6" s="1"/>
  <c r="M233" i="6" s="1"/>
  <c r="J232" i="6"/>
  <c r="L232" i="6" s="1"/>
  <c r="M232" i="6" s="1"/>
  <c r="J231" i="6"/>
  <c r="L231" i="6" s="1"/>
  <c r="M231" i="6" s="1"/>
  <c r="J230" i="6"/>
  <c r="J229" i="6"/>
  <c r="L229" i="6" s="1"/>
  <c r="M229" i="6" s="1"/>
  <c r="J228" i="6"/>
  <c r="L228" i="6" s="1"/>
  <c r="M228" i="6" s="1"/>
  <c r="J227" i="6"/>
  <c r="J226" i="6"/>
  <c r="L226" i="6" s="1"/>
  <c r="M226" i="6" s="1"/>
  <c r="J225" i="6"/>
  <c r="L225" i="6" s="1"/>
  <c r="M225" i="6" s="1"/>
  <c r="J224" i="6"/>
  <c r="L224" i="6" s="1"/>
  <c r="M224" i="6" s="1"/>
  <c r="J223" i="6"/>
  <c r="L223" i="6" s="1"/>
  <c r="M223" i="6" s="1"/>
  <c r="J222" i="6"/>
  <c r="L222" i="6" s="1"/>
  <c r="M222" i="6" s="1"/>
  <c r="J221" i="6"/>
  <c r="L221" i="6" s="1"/>
  <c r="J219" i="6"/>
  <c r="L219" i="6" s="1"/>
  <c r="M219" i="6" s="1"/>
  <c r="J218" i="6"/>
  <c r="L218" i="6" s="1"/>
  <c r="M218" i="6" s="1"/>
  <c r="J217" i="6"/>
  <c r="L217" i="6" s="1"/>
  <c r="M217" i="6" s="1"/>
  <c r="J216" i="6"/>
  <c r="L216" i="6" s="1"/>
  <c r="M216" i="6" s="1"/>
  <c r="J215" i="6"/>
  <c r="L215" i="6" s="1"/>
  <c r="M215" i="6" s="1"/>
  <c r="J214" i="6"/>
  <c r="J212" i="6"/>
  <c r="L212" i="6" s="1"/>
  <c r="M212" i="6" s="1"/>
  <c r="J211" i="6"/>
  <c r="L211" i="6" s="1"/>
  <c r="M211" i="6" s="1"/>
  <c r="J210" i="6"/>
  <c r="L210" i="6" s="1"/>
  <c r="M210" i="6" s="1"/>
  <c r="J209" i="6"/>
  <c r="J208" i="6"/>
  <c r="J199" i="6"/>
  <c r="J196" i="6"/>
  <c r="J194" i="6"/>
  <c r="J191" i="6"/>
  <c r="J190" i="6"/>
  <c r="J189" i="6"/>
  <c r="J188" i="6"/>
  <c r="J187" i="6"/>
  <c r="J186" i="6"/>
  <c r="J185" i="6"/>
  <c r="J184" i="6"/>
  <c r="J182" i="6"/>
  <c r="J181" i="6"/>
  <c r="J180" i="6"/>
  <c r="J179" i="6"/>
  <c r="J178" i="6"/>
  <c r="J177" i="6"/>
  <c r="J176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49" i="6"/>
  <c r="J148" i="6"/>
  <c r="J147" i="6"/>
  <c r="J146" i="6"/>
  <c r="J145" i="6"/>
  <c r="J138" i="6"/>
  <c r="J137" i="6"/>
  <c r="J136" i="6"/>
  <c r="J135" i="6"/>
  <c r="J134" i="6"/>
  <c r="J132" i="6"/>
  <c r="J131" i="6"/>
  <c r="J130" i="6"/>
  <c r="J129" i="6"/>
  <c r="J128" i="6"/>
  <c r="J127" i="6"/>
  <c r="J126" i="6"/>
  <c r="J125" i="6"/>
  <c r="J122" i="6"/>
  <c r="J121" i="6"/>
  <c r="J120" i="6"/>
  <c r="J119" i="6"/>
  <c r="J110" i="6"/>
  <c r="J109" i="6"/>
  <c r="J108" i="6"/>
  <c r="J107" i="6"/>
  <c r="L107" i="6" s="1"/>
  <c r="J105" i="6"/>
  <c r="J104" i="6"/>
  <c r="J102" i="6"/>
  <c r="J101" i="6"/>
  <c r="J99" i="6"/>
  <c r="J98" i="6"/>
  <c r="J96" i="6"/>
  <c r="J93" i="6"/>
  <c r="J92" i="6"/>
  <c r="J91" i="6"/>
  <c r="J90" i="6"/>
  <c r="J89" i="6"/>
  <c r="J87" i="6"/>
  <c r="J86" i="6"/>
  <c r="J85" i="6"/>
  <c r="J84" i="6"/>
  <c r="J83" i="6"/>
  <c r="J82" i="6"/>
  <c r="J81" i="6"/>
  <c r="J80" i="6"/>
  <c r="J79" i="6"/>
  <c r="J78" i="6"/>
  <c r="J75" i="6"/>
  <c r="J74" i="6"/>
  <c r="J73" i="6"/>
  <c r="J72" i="6"/>
  <c r="J70" i="6"/>
  <c r="J69" i="6"/>
  <c r="J68" i="6"/>
  <c r="J67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49" i="6"/>
  <c r="J48" i="6"/>
  <c r="J47" i="6"/>
  <c r="J46" i="6"/>
  <c r="J45" i="6"/>
  <c r="J44" i="6"/>
  <c r="J43" i="6"/>
  <c r="J40" i="6"/>
  <c r="J39" i="6"/>
  <c r="J38" i="6"/>
  <c r="J37" i="6"/>
  <c r="J36" i="6"/>
  <c r="J35" i="6"/>
  <c r="J34" i="6"/>
  <c r="J33" i="6"/>
  <c r="J32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Q5" i="6"/>
  <c r="I79" i="8" l="1"/>
  <c r="I77" i="8"/>
  <c r="I67" i="8"/>
  <c r="I59" i="8"/>
  <c r="I93" i="7"/>
  <c r="I83" i="7"/>
  <c r="I65" i="7"/>
  <c r="H356" i="6"/>
  <c r="G174" i="6"/>
  <c r="K94" i="6"/>
  <c r="I22" i="8"/>
  <c r="I13" i="8"/>
  <c r="I12" i="8"/>
  <c r="I102" i="7"/>
  <c r="I99" i="7"/>
  <c r="I96" i="7"/>
  <c r="I60" i="7"/>
  <c r="I44" i="7"/>
  <c r="I36" i="7"/>
  <c r="I25" i="7"/>
  <c r="K174" i="6"/>
  <c r="G94" i="6"/>
  <c r="F8" i="7"/>
  <c r="I9" i="7"/>
  <c r="K76" i="6"/>
  <c r="H344" i="6" s="1"/>
  <c r="H258" i="6"/>
  <c r="C70" i="8"/>
  <c r="L186" i="6"/>
  <c r="M186" i="6" s="1"/>
  <c r="C40" i="8"/>
  <c r="L154" i="6"/>
  <c r="M154" i="6" s="1"/>
  <c r="C69" i="7"/>
  <c r="L75" i="6"/>
  <c r="M75" i="6" s="1"/>
  <c r="C67" i="7"/>
  <c r="L73" i="6"/>
  <c r="M73" i="6" s="1"/>
  <c r="C64" i="7"/>
  <c r="L70" i="6"/>
  <c r="M70" i="6" s="1"/>
  <c r="C47" i="7"/>
  <c r="L53" i="6"/>
  <c r="M53" i="6" s="1"/>
  <c r="C46" i="7"/>
  <c r="L52" i="6"/>
  <c r="M52" i="6" s="1"/>
  <c r="C23" i="7"/>
  <c r="L29" i="6"/>
  <c r="M29" i="6" s="1"/>
  <c r="C14" i="7"/>
  <c r="L20" i="6"/>
  <c r="M20" i="6" s="1"/>
  <c r="I30" i="8"/>
  <c r="F29" i="8"/>
  <c r="I29" i="8" s="1"/>
  <c r="I7" i="8"/>
  <c r="F28" i="8"/>
  <c r="I91" i="7"/>
  <c r="F107" i="7"/>
  <c r="I107" i="7" s="1"/>
  <c r="F89" i="7"/>
  <c r="I72" i="7"/>
  <c r="I8" i="7"/>
  <c r="F70" i="7"/>
  <c r="I70" i="7" s="1"/>
  <c r="I389" i="6"/>
  <c r="J389" i="6" s="1"/>
  <c r="H388" i="6"/>
  <c r="H392" i="6" s="1"/>
  <c r="H393" i="6" s="1"/>
  <c r="H357" i="6"/>
  <c r="H358" i="6" s="1"/>
  <c r="H359" i="6" s="1"/>
  <c r="G355" i="6"/>
  <c r="H379" i="6"/>
  <c r="G377" i="6"/>
  <c r="H367" i="6"/>
  <c r="H343" i="6"/>
  <c r="H345" i="6" s="1"/>
  <c r="G325" i="6"/>
  <c r="I325" i="6" s="1"/>
  <c r="J325" i="6" s="1"/>
  <c r="I323" i="6"/>
  <c r="J323" i="6" s="1"/>
  <c r="H312" i="6"/>
  <c r="H321" i="6"/>
  <c r="H334" i="6" s="1"/>
  <c r="H353" i="6" s="1"/>
  <c r="H364" i="6" s="1"/>
  <c r="J116" i="6"/>
  <c r="K116" i="6"/>
  <c r="K205" i="6" s="1"/>
  <c r="H365" i="6"/>
  <c r="H284" i="6"/>
  <c r="H285" i="6" s="1"/>
  <c r="H286" i="6" s="1"/>
  <c r="K141" i="6"/>
  <c r="L141" i="6" s="1"/>
  <c r="H294" i="6"/>
  <c r="H295" i="6" s="1"/>
  <c r="H296" i="6" s="1"/>
  <c r="H376" i="6"/>
  <c r="H380" i="6" s="1"/>
  <c r="H381" i="6" s="1"/>
  <c r="K142" i="6"/>
  <c r="L142" i="6" s="1"/>
  <c r="H252" i="6"/>
  <c r="H251" i="6"/>
  <c r="K139" i="6"/>
  <c r="H322" i="6"/>
  <c r="H326" i="6" s="1"/>
  <c r="H327" i="6" s="1"/>
  <c r="K8" i="6"/>
  <c r="G139" i="6"/>
  <c r="H259" i="6"/>
  <c r="K112" i="6"/>
  <c r="K113" i="6" s="1"/>
  <c r="G112" i="6"/>
  <c r="J220" i="6"/>
  <c r="L230" i="6"/>
  <c r="M230" i="6" s="1"/>
  <c r="L227" i="6"/>
  <c r="M227" i="6" s="1"/>
  <c r="G314" i="6"/>
  <c r="I314" i="6" s="1"/>
  <c r="J314" i="6" s="1"/>
  <c r="M221" i="6"/>
  <c r="L220" i="6"/>
  <c r="M220" i="6" s="1"/>
  <c r="J213" i="6"/>
  <c r="G306" i="6" s="1"/>
  <c r="I306" i="6" s="1"/>
  <c r="J306" i="6" s="1"/>
  <c r="L214" i="6"/>
  <c r="G354" i="6"/>
  <c r="L209" i="6"/>
  <c r="M209" i="6" s="1"/>
  <c r="L208" i="6"/>
  <c r="J207" i="6"/>
  <c r="J240" i="6" s="1"/>
  <c r="J245" i="6" s="1"/>
  <c r="J246" i="6" s="1"/>
  <c r="C82" i="8"/>
  <c r="L199" i="6"/>
  <c r="M199" i="6" s="1"/>
  <c r="C80" i="8"/>
  <c r="D79" i="8" s="1"/>
  <c r="J195" i="6"/>
  <c r="L196" i="6"/>
  <c r="C78" i="8"/>
  <c r="D77" i="8" s="1"/>
  <c r="J193" i="6"/>
  <c r="L194" i="6"/>
  <c r="L191" i="6"/>
  <c r="M191" i="6" s="1"/>
  <c r="C75" i="8"/>
  <c r="L190" i="6"/>
  <c r="M190" i="6" s="1"/>
  <c r="C74" i="8"/>
  <c r="C73" i="8"/>
  <c r="L189" i="6"/>
  <c r="M189" i="6" s="1"/>
  <c r="C72" i="8"/>
  <c r="L188" i="6"/>
  <c r="M188" i="6" s="1"/>
  <c r="L187" i="6"/>
  <c r="M187" i="6" s="1"/>
  <c r="C71" i="8"/>
  <c r="C69" i="8"/>
  <c r="L185" i="6"/>
  <c r="M185" i="6" s="1"/>
  <c r="L184" i="6"/>
  <c r="C68" i="8"/>
  <c r="D67" i="8" s="1"/>
  <c r="J183" i="6"/>
  <c r="C66" i="8"/>
  <c r="L182" i="6"/>
  <c r="M182" i="6" s="1"/>
  <c r="C65" i="8"/>
  <c r="L181" i="6"/>
  <c r="M181" i="6" s="1"/>
  <c r="L180" i="6"/>
  <c r="M180" i="6" s="1"/>
  <c r="C64" i="8"/>
  <c r="L179" i="6"/>
  <c r="M179" i="6" s="1"/>
  <c r="C63" i="8"/>
  <c r="C62" i="8"/>
  <c r="L178" i="6"/>
  <c r="M178" i="6" s="1"/>
  <c r="C61" i="8"/>
  <c r="L177" i="6"/>
  <c r="M177" i="6" s="1"/>
  <c r="J175" i="6"/>
  <c r="L176" i="6"/>
  <c r="C60" i="8"/>
  <c r="D59" i="8" s="1"/>
  <c r="H59" i="8" s="1"/>
  <c r="C57" i="8"/>
  <c r="L171" i="6"/>
  <c r="M171" i="6" s="1"/>
  <c r="L170" i="6"/>
  <c r="M170" i="6" s="1"/>
  <c r="C56" i="8"/>
  <c r="L169" i="6"/>
  <c r="M169" i="6" s="1"/>
  <c r="C55" i="8"/>
  <c r="C54" i="8"/>
  <c r="L168" i="6"/>
  <c r="M168" i="6" s="1"/>
  <c r="L167" i="6"/>
  <c r="M167" i="6" s="1"/>
  <c r="C53" i="8"/>
  <c r="C52" i="8"/>
  <c r="L166" i="6"/>
  <c r="M166" i="6" s="1"/>
  <c r="L165" i="6"/>
  <c r="M165" i="6" s="1"/>
  <c r="C51" i="8"/>
  <c r="L164" i="6"/>
  <c r="M164" i="6" s="1"/>
  <c r="C50" i="8"/>
  <c r="L163" i="6"/>
  <c r="M163" i="6" s="1"/>
  <c r="C49" i="8"/>
  <c r="L162" i="6"/>
  <c r="M162" i="6" s="1"/>
  <c r="C48" i="8"/>
  <c r="L161" i="6"/>
  <c r="M161" i="6" s="1"/>
  <c r="C47" i="8"/>
  <c r="L160" i="6"/>
  <c r="M160" i="6" s="1"/>
  <c r="C46" i="8"/>
  <c r="C45" i="8"/>
  <c r="L159" i="6"/>
  <c r="M159" i="6" s="1"/>
  <c r="C44" i="8"/>
  <c r="L158" i="6"/>
  <c r="M158" i="6" s="1"/>
  <c r="L157" i="6"/>
  <c r="M157" i="6" s="1"/>
  <c r="G313" i="6"/>
  <c r="C43" i="8"/>
  <c r="C42" i="8"/>
  <c r="L156" i="6"/>
  <c r="M156" i="6" s="1"/>
  <c r="C41" i="8"/>
  <c r="L155" i="6"/>
  <c r="M155" i="6" s="1"/>
  <c r="C39" i="8"/>
  <c r="L153" i="6"/>
  <c r="M153" i="6" s="1"/>
  <c r="C38" i="8"/>
  <c r="L152" i="6"/>
  <c r="M152" i="6" s="1"/>
  <c r="L151" i="6"/>
  <c r="C37" i="8"/>
  <c r="D36" i="8" s="1"/>
  <c r="J150" i="6"/>
  <c r="C35" i="8"/>
  <c r="L149" i="6"/>
  <c r="M149" i="6" s="1"/>
  <c r="C34" i="8"/>
  <c r="L148" i="6"/>
  <c r="M148" i="6" s="1"/>
  <c r="C33" i="8"/>
  <c r="L147" i="6"/>
  <c r="M147" i="6" s="1"/>
  <c r="C32" i="8"/>
  <c r="L146" i="6"/>
  <c r="M146" i="6" s="1"/>
  <c r="C31" i="8"/>
  <c r="D30" i="8" s="1"/>
  <c r="J144" i="6"/>
  <c r="L145" i="6"/>
  <c r="L138" i="6"/>
  <c r="M138" i="6" s="1"/>
  <c r="C27" i="8"/>
  <c r="C26" i="8"/>
  <c r="L137" i="6"/>
  <c r="M137" i="6" s="1"/>
  <c r="C25" i="8"/>
  <c r="L136" i="6"/>
  <c r="M136" i="6" s="1"/>
  <c r="C24" i="8"/>
  <c r="L135" i="6"/>
  <c r="M135" i="6" s="1"/>
  <c r="C23" i="8"/>
  <c r="D22" i="8" s="1"/>
  <c r="L134" i="6"/>
  <c r="J133" i="6"/>
  <c r="L132" i="6"/>
  <c r="M132" i="6" s="1"/>
  <c r="C21" i="8"/>
  <c r="C20" i="8"/>
  <c r="L131" i="6"/>
  <c r="M131" i="6" s="1"/>
  <c r="L130" i="6"/>
  <c r="M130" i="6" s="1"/>
  <c r="C19" i="8"/>
  <c r="L129" i="6"/>
  <c r="M129" i="6" s="1"/>
  <c r="C18" i="8"/>
  <c r="L128" i="6"/>
  <c r="M128" i="6" s="1"/>
  <c r="C17" i="8"/>
  <c r="C16" i="8"/>
  <c r="L127" i="6"/>
  <c r="M127" i="6" s="1"/>
  <c r="C15" i="8"/>
  <c r="L126" i="6"/>
  <c r="M126" i="6" s="1"/>
  <c r="L125" i="6"/>
  <c r="C14" i="8"/>
  <c r="D13" i="8" s="1"/>
  <c r="J124" i="6"/>
  <c r="C11" i="8"/>
  <c r="L122" i="6"/>
  <c r="M122" i="6" s="1"/>
  <c r="C10" i="8"/>
  <c r="L121" i="6"/>
  <c r="M121" i="6" s="1"/>
  <c r="G275" i="6"/>
  <c r="C9" i="8"/>
  <c r="L120" i="6"/>
  <c r="M120" i="6" s="1"/>
  <c r="L119" i="6"/>
  <c r="C8" i="8"/>
  <c r="D7" i="8" s="1"/>
  <c r="J118" i="6"/>
  <c r="G274" i="6"/>
  <c r="C106" i="7"/>
  <c r="L110" i="6"/>
  <c r="M110" i="6" s="1"/>
  <c r="L109" i="6"/>
  <c r="M109" i="6" s="1"/>
  <c r="C105" i="7"/>
  <c r="L108" i="6"/>
  <c r="M108" i="6" s="1"/>
  <c r="C104" i="7"/>
  <c r="M107" i="6"/>
  <c r="L106" i="6"/>
  <c r="M106" i="6" s="1"/>
  <c r="J106" i="6"/>
  <c r="C103" i="7"/>
  <c r="D102" i="7" s="1"/>
  <c r="H102" i="7" s="1"/>
  <c r="C101" i="7"/>
  <c r="L105" i="6"/>
  <c r="M105" i="6" s="1"/>
  <c r="C100" i="7"/>
  <c r="D99" i="7" s="1"/>
  <c r="J103" i="6"/>
  <c r="L104" i="6"/>
  <c r="L102" i="6"/>
  <c r="M102" i="6" s="1"/>
  <c r="C98" i="7"/>
  <c r="L101" i="6"/>
  <c r="J100" i="6"/>
  <c r="C97" i="7"/>
  <c r="D96" i="7" s="1"/>
  <c r="H96" i="7" s="1"/>
  <c r="L99" i="6"/>
  <c r="M99" i="6" s="1"/>
  <c r="C95" i="7"/>
  <c r="J97" i="6"/>
  <c r="L98" i="6"/>
  <c r="C94" i="7"/>
  <c r="D93" i="7" s="1"/>
  <c r="H93" i="7" s="1"/>
  <c r="L96" i="6"/>
  <c r="C92" i="7"/>
  <c r="D91" i="7" s="1"/>
  <c r="J95" i="6"/>
  <c r="J111" i="6" s="1"/>
  <c r="L93" i="6"/>
  <c r="M93" i="6" s="1"/>
  <c r="C88" i="7"/>
  <c r="C87" i="7"/>
  <c r="L92" i="6"/>
  <c r="M92" i="6" s="1"/>
  <c r="L91" i="6"/>
  <c r="M91" i="6" s="1"/>
  <c r="C86" i="7"/>
  <c r="C85" i="7"/>
  <c r="L90" i="6"/>
  <c r="M90" i="6" s="1"/>
  <c r="J88" i="6"/>
  <c r="L89" i="6"/>
  <c r="C84" i="7"/>
  <c r="D83" i="7" s="1"/>
  <c r="H83" i="7" s="1"/>
  <c r="L87" i="6"/>
  <c r="M87" i="6" s="1"/>
  <c r="C82" i="7"/>
  <c r="C81" i="7"/>
  <c r="L86" i="6"/>
  <c r="M86" i="6" s="1"/>
  <c r="C80" i="7"/>
  <c r="L85" i="6"/>
  <c r="M85" i="6" s="1"/>
  <c r="L84" i="6"/>
  <c r="M84" i="6" s="1"/>
  <c r="C79" i="7"/>
  <c r="L83" i="6"/>
  <c r="M83" i="6" s="1"/>
  <c r="C78" i="7"/>
  <c r="C77" i="7"/>
  <c r="L82" i="6"/>
  <c r="M82" i="6" s="1"/>
  <c r="C76" i="7"/>
  <c r="L81" i="6"/>
  <c r="M81" i="6" s="1"/>
  <c r="C75" i="7"/>
  <c r="L80" i="6"/>
  <c r="M80" i="6" s="1"/>
  <c r="C74" i="7"/>
  <c r="L79" i="6"/>
  <c r="M79" i="6" s="1"/>
  <c r="G390" i="6"/>
  <c r="C73" i="7"/>
  <c r="D72" i="7" s="1"/>
  <c r="J77" i="6"/>
  <c r="J94" i="6" s="1"/>
  <c r="L78" i="6"/>
  <c r="L74" i="6"/>
  <c r="M74" i="6" s="1"/>
  <c r="C68" i="7"/>
  <c r="C66" i="7"/>
  <c r="D65" i="7" s="1"/>
  <c r="L72" i="6"/>
  <c r="J71" i="6"/>
  <c r="L69" i="6"/>
  <c r="M69" i="6" s="1"/>
  <c r="C63" i="7"/>
  <c r="L68" i="6"/>
  <c r="M68" i="6" s="1"/>
  <c r="C62" i="7"/>
  <c r="L67" i="6"/>
  <c r="C61" i="7"/>
  <c r="D60" i="7" s="1"/>
  <c r="J66" i="6"/>
  <c r="L65" i="6"/>
  <c r="M65" i="6" s="1"/>
  <c r="C59" i="7"/>
  <c r="L64" i="6"/>
  <c r="M64" i="6" s="1"/>
  <c r="C58" i="7"/>
  <c r="L63" i="6"/>
  <c r="M63" i="6" s="1"/>
  <c r="C57" i="7"/>
  <c r="C56" i="7"/>
  <c r="L62" i="6"/>
  <c r="M62" i="6" s="1"/>
  <c r="C55" i="7"/>
  <c r="L61" i="6"/>
  <c r="M61" i="6" s="1"/>
  <c r="L60" i="6"/>
  <c r="M60" i="6" s="1"/>
  <c r="C54" i="7"/>
  <c r="C53" i="7"/>
  <c r="L59" i="6"/>
  <c r="M59" i="6" s="1"/>
  <c r="C52" i="7"/>
  <c r="L58" i="6"/>
  <c r="M58" i="6" s="1"/>
  <c r="C51" i="7"/>
  <c r="L57" i="6"/>
  <c r="M57" i="6" s="1"/>
  <c r="C50" i="7"/>
  <c r="L56" i="6"/>
  <c r="M56" i="6" s="1"/>
  <c r="L55" i="6"/>
  <c r="M55" i="6" s="1"/>
  <c r="C49" i="7"/>
  <c r="L54" i="6"/>
  <c r="M54" i="6" s="1"/>
  <c r="C48" i="7"/>
  <c r="J50" i="6"/>
  <c r="C45" i="7"/>
  <c r="L51" i="6"/>
  <c r="C43" i="7"/>
  <c r="L49" i="6"/>
  <c r="M49" i="6" s="1"/>
  <c r="C42" i="7"/>
  <c r="L48" i="6"/>
  <c r="M48" i="6" s="1"/>
  <c r="C41" i="7"/>
  <c r="L47" i="6"/>
  <c r="M47" i="6" s="1"/>
  <c r="C40" i="7"/>
  <c r="L46" i="6"/>
  <c r="M46" i="6" s="1"/>
  <c r="L45" i="6"/>
  <c r="M45" i="6" s="1"/>
  <c r="C39" i="7"/>
  <c r="C38" i="7"/>
  <c r="L44" i="6"/>
  <c r="M44" i="6" s="1"/>
  <c r="C37" i="7"/>
  <c r="D36" i="7" s="1"/>
  <c r="J42" i="6"/>
  <c r="L43" i="6"/>
  <c r="L40" i="6"/>
  <c r="M40" i="6" s="1"/>
  <c r="C34" i="7"/>
  <c r="C33" i="7"/>
  <c r="G342" i="6"/>
  <c r="I342" i="6" s="1"/>
  <c r="J342" i="6" s="1"/>
  <c r="L39" i="6"/>
  <c r="M39" i="6" s="1"/>
  <c r="C32" i="7"/>
  <c r="L38" i="6"/>
  <c r="M38" i="6" s="1"/>
  <c r="G341" i="6"/>
  <c r="C31" i="7"/>
  <c r="L37" i="6"/>
  <c r="M37" i="6" s="1"/>
  <c r="G340" i="6"/>
  <c r="I340" i="6" s="1"/>
  <c r="J340" i="6" s="1"/>
  <c r="G339" i="6"/>
  <c r="I339" i="6" s="1"/>
  <c r="J339" i="6" s="1"/>
  <c r="L36" i="6"/>
  <c r="M36" i="6" s="1"/>
  <c r="C30" i="7"/>
  <c r="L35" i="6"/>
  <c r="M35" i="6" s="1"/>
  <c r="C29" i="7"/>
  <c r="G336" i="6"/>
  <c r="I336" i="6" s="1"/>
  <c r="J336" i="6" s="1"/>
  <c r="L34" i="6"/>
  <c r="M34" i="6" s="1"/>
  <c r="G335" i="6"/>
  <c r="C28" i="7"/>
  <c r="L33" i="6"/>
  <c r="M33" i="6" s="1"/>
  <c r="G338" i="6"/>
  <c r="I338" i="6" s="1"/>
  <c r="J338" i="6" s="1"/>
  <c r="C27" i="7"/>
  <c r="L32" i="6"/>
  <c r="G337" i="6"/>
  <c r="C26" i="7"/>
  <c r="J31" i="6"/>
  <c r="L30" i="6"/>
  <c r="M30" i="6" s="1"/>
  <c r="C24" i="7"/>
  <c r="L28" i="6"/>
  <c r="M28" i="6" s="1"/>
  <c r="C22" i="7"/>
  <c r="L27" i="6"/>
  <c r="M27" i="6" s="1"/>
  <c r="C21" i="7"/>
  <c r="C20" i="7"/>
  <c r="L26" i="6"/>
  <c r="M26" i="6" s="1"/>
  <c r="C19" i="7"/>
  <c r="L25" i="6"/>
  <c r="M25" i="6" s="1"/>
  <c r="L24" i="6"/>
  <c r="M24" i="6" s="1"/>
  <c r="C18" i="7"/>
  <c r="L23" i="6"/>
  <c r="M23" i="6" s="1"/>
  <c r="C17" i="7"/>
  <c r="L22" i="6"/>
  <c r="M22" i="6" s="1"/>
  <c r="C16" i="7"/>
  <c r="C15" i="7"/>
  <c r="L21" i="6"/>
  <c r="M21" i="6" s="1"/>
  <c r="L19" i="6"/>
  <c r="M19" i="6" s="1"/>
  <c r="G324" i="6"/>
  <c r="I324" i="6" s="1"/>
  <c r="J324" i="6" s="1"/>
  <c r="C13" i="7"/>
  <c r="C12" i="7"/>
  <c r="L18" i="6"/>
  <c r="M18" i="6" s="1"/>
  <c r="L17" i="6"/>
  <c r="M17" i="6" s="1"/>
  <c r="C11" i="7"/>
  <c r="J15" i="6"/>
  <c r="J14" i="6" s="1"/>
  <c r="C10" i="7"/>
  <c r="D9" i="7" s="1"/>
  <c r="L16" i="6"/>
  <c r="G62" i="12"/>
  <c r="D44" i="7" l="1"/>
  <c r="H44" i="7" s="1"/>
  <c r="J41" i="6"/>
  <c r="L174" i="6"/>
  <c r="I28" i="8"/>
  <c r="F58" i="8"/>
  <c r="I89" i="7"/>
  <c r="F108" i="7"/>
  <c r="I355" i="6"/>
  <c r="J355" i="6" s="1"/>
  <c r="I377" i="6"/>
  <c r="J377" i="6" s="1"/>
  <c r="G366" i="6"/>
  <c r="H368" i="6"/>
  <c r="H369" i="6" s="1"/>
  <c r="H370" i="6" s="1"/>
  <c r="H375" i="6"/>
  <c r="H387" i="6"/>
  <c r="K140" i="6"/>
  <c r="K172" i="6"/>
  <c r="G140" i="6"/>
  <c r="L140" i="6" s="1"/>
  <c r="G172" i="6"/>
  <c r="G113" i="6"/>
  <c r="M214" i="6"/>
  <c r="L213" i="6"/>
  <c r="M213" i="6" s="1"/>
  <c r="G388" i="6"/>
  <c r="I354" i="6"/>
  <c r="J354" i="6" s="1"/>
  <c r="L207" i="6"/>
  <c r="M208" i="6"/>
  <c r="L195" i="6"/>
  <c r="M195" i="6" s="1"/>
  <c r="M196" i="6"/>
  <c r="L193" i="6"/>
  <c r="M193" i="6" s="1"/>
  <c r="M194" i="6"/>
  <c r="L183" i="6"/>
  <c r="M183" i="6" s="1"/>
  <c r="M184" i="6"/>
  <c r="M176" i="6"/>
  <c r="L175" i="6"/>
  <c r="M175" i="6" s="1"/>
  <c r="I313" i="6"/>
  <c r="G315" i="6"/>
  <c r="M151" i="6"/>
  <c r="L150" i="6"/>
  <c r="M150" i="6" s="1"/>
  <c r="H30" i="8"/>
  <c r="D29" i="8"/>
  <c r="G305" i="6"/>
  <c r="J143" i="6"/>
  <c r="J174" i="6" s="1"/>
  <c r="L144" i="6"/>
  <c r="M145" i="6"/>
  <c r="L133" i="6"/>
  <c r="M133" i="6" s="1"/>
  <c r="M134" i="6"/>
  <c r="J141" i="6"/>
  <c r="G284" i="6"/>
  <c r="I284" i="6" s="1"/>
  <c r="J284" i="6" s="1"/>
  <c r="G365" i="6"/>
  <c r="L124" i="6"/>
  <c r="M125" i="6"/>
  <c r="H13" i="8"/>
  <c r="D12" i="8"/>
  <c r="J142" i="6"/>
  <c r="G294" i="6"/>
  <c r="I294" i="6" s="1"/>
  <c r="J294" i="6" s="1"/>
  <c r="G376" i="6"/>
  <c r="J123" i="6"/>
  <c r="I275" i="6"/>
  <c r="J275" i="6" s="1"/>
  <c r="G293" i="6"/>
  <c r="M119" i="6"/>
  <c r="L118" i="6"/>
  <c r="H7" i="8"/>
  <c r="D28" i="8"/>
  <c r="J139" i="6"/>
  <c r="G322" i="6"/>
  <c r="G252" i="6"/>
  <c r="I252" i="6" s="1"/>
  <c r="I274" i="6"/>
  <c r="J274" i="6" s="1"/>
  <c r="G283" i="6"/>
  <c r="M104" i="6"/>
  <c r="L103" i="6"/>
  <c r="M103" i="6" s="1"/>
  <c r="M101" i="6"/>
  <c r="L100" i="6"/>
  <c r="M100" i="6" s="1"/>
  <c r="M98" i="6"/>
  <c r="L97" i="6"/>
  <c r="M97" i="6" s="1"/>
  <c r="M96" i="6"/>
  <c r="L95" i="6"/>
  <c r="H91" i="7"/>
  <c r="D107" i="7"/>
  <c r="H107" i="7" s="1"/>
  <c r="L88" i="6"/>
  <c r="M88" i="6" s="1"/>
  <c r="M89" i="6"/>
  <c r="H72" i="7"/>
  <c r="D89" i="7"/>
  <c r="J112" i="6"/>
  <c r="G259" i="6"/>
  <c r="I259" i="6" s="1"/>
  <c r="L77" i="6"/>
  <c r="M78" i="6"/>
  <c r="M72" i="6"/>
  <c r="L71" i="6"/>
  <c r="M71" i="6" s="1"/>
  <c r="L66" i="6"/>
  <c r="M66" i="6" s="1"/>
  <c r="M67" i="6"/>
  <c r="L50" i="6"/>
  <c r="M50" i="6" s="1"/>
  <c r="M51" i="6"/>
  <c r="H36" i="7"/>
  <c r="D35" i="7"/>
  <c r="H35" i="7" s="1"/>
  <c r="M43" i="6"/>
  <c r="L42" i="6"/>
  <c r="I341" i="6"/>
  <c r="J341" i="6" s="1"/>
  <c r="G356" i="6"/>
  <c r="I335" i="6"/>
  <c r="G367" i="6"/>
  <c r="I367" i="6" s="1"/>
  <c r="J367" i="6" s="1"/>
  <c r="G343" i="6"/>
  <c r="L31" i="6"/>
  <c r="M31" i="6" s="1"/>
  <c r="M32" i="6"/>
  <c r="I337" i="6"/>
  <c r="J337" i="6" s="1"/>
  <c r="G378" i="6"/>
  <c r="J76" i="6"/>
  <c r="G258" i="6"/>
  <c r="I258" i="6" s="1"/>
  <c r="H9" i="7"/>
  <c r="L15" i="6"/>
  <c r="M16" i="6"/>
  <c r="D25" i="7"/>
  <c r="H79" i="8"/>
  <c r="H77" i="8"/>
  <c r="H67" i="8"/>
  <c r="H36" i="8"/>
  <c r="H22" i="8"/>
  <c r="H99" i="7"/>
  <c r="H65" i="7"/>
  <c r="H60" i="7"/>
  <c r="I390" i="6"/>
  <c r="J390" i="6" s="1"/>
  <c r="G391" i="6"/>
  <c r="I391" i="6" s="1"/>
  <c r="J391" i="6" s="1"/>
  <c r="J62" i="12"/>
  <c r="I58" i="8" l="1"/>
  <c r="F76" i="8"/>
  <c r="I108" i="7"/>
  <c r="F109" i="7"/>
  <c r="I366" i="6"/>
  <c r="J366" i="6" s="1"/>
  <c r="G368" i="6"/>
  <c r="K173" i="6"/>
  <c r="K192" i="6"/>
  <c r="K197" i="6" s="1"/>
  <c r="H260" i="6"/>
  <c r="G173" i="6"/>
  <c r="L173" i="6" s="1"/>
  <c r="G192" i="6"/>
  <c r="G197" i="6" s="1"/>
  <c r="I388" i="6"/>
  <c r="J388" i="6" s="1"/>
  <c r="G392" i="6"/>
  <c r="L240" i="6"/>
  <c r="M207" i="6"/>
  <c r="J313" i="6"/>
  <c r="I315" i="6"/>
  <c r="J315" i="6" s="1"/>
  <c r="I305" i="6"/>
  <c r="G307" i="6"/>
  <c r="M144" i="6"/>
  <c r="L143" i="6"/>
  <c r="M143" i="6" s="1"/>
  <c r="I365" i="6"/>
  <c r="J365" i="6" s="1"/>
  <c r="M124" i="6"/>
  <c r="L123" i="6"/>
  <c r="M123" i="6" s="1"/>
  <c r="I376" i="6"/>
  <c r="J376" i="6" s="1"/>
  <c r="I293" i="6"/>
  <c r="J293" i="6" s="1"/>
  <c r="G295" i="6"/>
  <c r="L139" i="6"/>
  <c r="M118" i="6"/>
  <c r="H28" i="8"/>
  <c r="D58" i="8"/>
  <c r="J140" i="6"/>
  <c r="J172" i="6"/>
  <c r="I322" i="6"/>
  <c r="J322" i="6" s="1"/>
  <c r="G326" i="6"/>
  <c r="G327" i="6" s="1"/>
  <c r="I327" i="6" s="1"/>
  <c r="G285" i="6"/>
  <c r="I283" i="6"/>
  <c r="J283" i="6" s="1"/>
  <c r="M95" i="6"/>
  <c r="L111" i="6"/>
  <c r="M111" i="6" s="1"/>
  <c r="H89" i="7"/>
  <c r="D108" i="7"/>
  <c r="L94" i="6"/>
  <c r="M77" i="6"/>
  <c r="M42" i="6"/>
  <c r="L41" i="6"/>
  <c r="M41" i="6" s="1"/>
  <c r="J335" i="6"/>
  <c r="I343" i="6"/>
  <c r="J343" i="6" s="1"/>
  <c r="M15" i="6"/>
  <c r="L14" i="6"/>
  <c r="H29" i="8"/>
  <c r="H12" i="8"/>
  <c r="J113" i="6"/>
  <c r="I356" i="6"/>
  <c r="J356" i="6" s="1"/>
  <c r="G357" i="6"/>
  <c r="I378" i="6"/>
  <c r="J378" i="6" s="1"/>
  <c r="G379" i="6"/>
  <c r="G344" i="6"/>
  <c r="G251" i="6"/>
  <c r="I251" i="6" s="1"/>
  <c r="H25" i="7"/>
  <c r="D8" i="7"/>
  <c r="I62" i="12"/>
  <c r="I368" i="6" l="1"/>
  <c r="J368" i="6" s="1"/>
  <c r="G369" i="6"/>
  <c r="I379" i="6"/>
  <c r="J379" i="6" s="1"/>
  <c r="G380" i="6"/>
  <c r="I76" i="8"/>
  <c r="F81" i="8"/>
  <c r="K198" i="6"/>
  <c r="K200" i="6"/>
  <c r="G198" i="6"/>
  <c r="L198" i="6" s="1"/>
  <c r="G200" i="6"/>
  <c r="I392" i="6"/>
  <c r="G393" i="6"/>
  <c r="I393" i="6" s="1"/>
  <c r="L245" i="6"/>
  <c r="M245" i="6" s="1"/>
  <c r="M240" i="6"/>
  <c r="I307" i="6"/>
  <c r="J307" i="6" s="1"/>
  <c r="J305" i="6"/>
  <c r="I295" i="6"/>
  <c r="J295" i="6" s="1"/>
  <c r="G296" i="6"/>
  <c r="I296" i="6" s="1"/>
  <c r="L172" i="6"/>
  <c r="M139" i="6"/>
  <c r="H58" i="8"/>
  <c r="D76" i="8"/>
  <c r="J173" i="6"/>
  <c r="J192" i="6"/>
  <c r="J197" i="6" s="1"/>
  <c r="G260" i="6"/>
  <c r="I260" i="6" s="1"/>
  <c r="I285" i="6"/>
  <c r="J285" i="6" s="1"/>
  <c r="G286" i="6"/>
  <c r="I286" i="6" s="1"/>
  <c r="H108" i="7"/>
  <c r="L112" i="6"/>
  <c r="M94" i="6"/>
  <c r="L76" i="6"/>
  <c r="M76" i="6" s="1"/>
  <c r="M14" i="6"/>
  <c r="G358" i="6"/>
  <c r="I357" i="6"/>
  <c r="J357" i="6" s="1"/>
  <c r="G345" i="6"/>
  <c r="I345" i="6" s="1"/>
  <c r="I344" i="6"/>
  <c r="J344" i="6" s="1"/>
  <c r="D70" i="7"/>
  <c r="H8" i="7"/>
  <c r="I369" i="6" l="1"/>
  <c r="G370" i="6"/>
  <c r="I370" i="6" s="1"/>
  <c r="I380" i="6"/>
  <c r="G381" i="6"/>
  <c r="I381" i="6" s="1"/>
  <c r="H70" i="7"/>
  <c r="D109" i="7"/>
  <c r="I81" i="8"/>
  <c r="F83" i="8"/>
  <c r="I83" i="8" s="1"/>
  <c r="K201" i="6"/>
  <c r="H267" i="6"/>
  <c r="H268" i="6"/>
  <c r="G201" i="6"/>
  <c r="L192" i="6"/>
  <c r="M172" i="6"/>
  <c r="H76" i="8"/>
  <c r="D81" i="8"/>
  <c r="J198" i="6"/>
  <c r="J200" i="6"/>
  <c r="L113" i="6"/>
  <c r="M112" i="6"/>
  <c r="G359" i="6"/>
  <c r="I359" i="6" s="1"/>
  <c r="I358" i="6"/>
  <c r="H62" i="12"/>
  <c r="L201" i="6" l="1"/>
  <c r="L197" i="6"/>
  <c r="M192" i="6"/>
  <c r="H81" i="8"/>
  <c r="D83" i="8"/>
  <c r="H83" i="8" s="1"/>
  <c r="G267" i="6"/>
  <c r="I267" i="6" s="1"/>
  <c r="J201" i="6"/>
  <c r="G268" i="6"/>
  <c r="I268" i="6" s="1"/>
  <c r="L200" i="6" l="1"/>
  <c r="M200" i="6" s="1"/>
  <c r="M197" i="6"/>
  <c r="K62" i="12" l="1"/>
  <c r="K63" i="12" s="1"/>
  <c r="J12" i="6" l="1"/>
  <c r="G250" i="6" s="1"/>
  <c r="G257" i="6" s="1"/>
  <c r="G266" i="6" s="1"/>
  <c r="G273" i="6" s="1"/>
  <c r="G282" i="6" s="1"/>
  <c r="G292" i="6" s="1"/>
  <c r="G304" i="6" s="1"/>
  <c r="G312" i="6" l="1"/>
  <c r="G321" i="6"/>
  <c r="G334" i="6" s="1"/>
  <c r="G353" i="6" s="1"/>
  <c r="G364" i="6" s="1"/>
  <c r="G375" i="6" l="1"/>
  <c r="G387" i="6"/>
  <c r="L8" i="6" l="1"/>
  <c r="N12" i="6"/>
  <c r="N211" i="6" l="1"/>
  <c r="N196" i="6"/>
  <c r="N190" i="6"/>
  <c r="N189" i="6"/>
  <c r="N187" i="6"/>
  <c r="N186" i="6"/>
  <c r="N180" i="6"/>
  <c r="N176" i="6"/>
  <c r="N169" i="6"/>
  <c r="N167" i="6"/>
  <c r="N166" i="6"/>
  <c r="N159" i="6"/>
  <c r="N151" i="6"/>
  <c r="N147" i="6"/>
  <c r="N145" i="6"/>
  <c r="N128" i="6"/>
  <c r="N126" i="6"/>
  <c r="N121" i="6"/>
  <c r="N109" i="6"/>
  <c r="N108" i="6"/>
  <c r="N107" i="6"/>
  <c r="N106" i="6"/>
  <c r="N104" i="6"/>
  <c r="N103" i="6"/>
  <c r="N100" i="6"/>
  <c r="N99" i="6"/>
  <c r="N96" i="6"/>
  <c r="N93" i="6"/>
  <c r="N92" i="6"/>
  <c r="N90" i="6"/>
  <c r="N89" i="6"/>
  <c r="N88" i="6"/>
  <c r="N86" i="6"/>
  <c r="N84" i="6"/>
  <c r="N83" i="6"/>
  <c r="N81" i="6"/>
  <c r="N80" i="6"/>
  <c r="N79" i="6"/>
  <c r="N74" i="6"/>
  <c r="N69" i="6"/>
  <c r="N67" i="6"/>
  <c r="N66" i="6"/>
  <c r="N65" i="6"/>
  <c r="N63" i="6"/>
  <c r="N62" i="6"/>
  <c r="N61" i="6"/>
  <c r="N60" i="6"/>
  <c r="N59" i="6"/>
  <c r="N57" i="6"/>
  <c r="N56" i="6"/>
  <c r="N55" i="6"/>
  <c r="N54" i="6"/>
  <c r="N53" i="6"/>
  <c r="N52" i="6"/>
  <c r="N48" i="6"/>
  <c r="N47" i="6"/>
  <c r="N46" i="6"/>
  <c r="N44" i="6"/>
  <c r="N40" i="6"/>
  <c r="N38" i="6"/>
  <c r="N37" i="6"/>
  <c r="N36" i="6"/>
  <c r="N35" i="6"/>
  <c r="N34" i="6"/>
  <c r="N31" i="6"/>
  <c r="N30" i="6"/>
  <c r="N27" i="6"/>
  <c r="N26" i="6"/>
  <c r="N25" i="6"/>
  <c r="N24" i="6"/>
  <c r="N22" i="6"/>
  <c r="N21" i="6"/>
  <c r="N19" i="6"/>
  <c r="N18" i="6"/>
  <c r="N17" i="6"/>
  <c r="N15" i="6"/>
  <c r="N205" i="6"/>
  <c r="N116" i="6"/>
  <c r="N231" i="6"/>
  <c r="N199" i="6"/>
  <c r="N194" i="6"/>
  <c r="N179" i="6"/>
  <c r="N178" i="6"/>
  <c r="N171" i="6"/>
  <c r="N170" i="6"/>
  <c r="N165" i="6"/>
  <c r="N163" i="6"/>
  <c r="N161" i="6"/>
  <c r="N160" i="6"/>
  <c r="N158" i="6"/>
  <c r="N156" i="6"/>
  <c r="N153" i="6"/>
  <c r="N146" i="6"/>
  <c r="N120" i="6"/>
  <c r="N105" i="6"/>
  <c r="N101" i="6"/>
  <c r="N77" i="6"/>
  <c r="N72" i="6"/>
  <c r="N32" i="6"/>
  <c r="N28" i="6"/>
  <c r="N16" i="6"/>
  <c r="N239" i="6"/>
  <c r="N238" i="6"/>
  <c r="N237" i="6"/>
  <c r="N236" i="6"/>
  <c r="N235" i="6"/>
  <c r="N234" i="6"/>
  <c r="N233" i="6"/>
  <c r="N232" i="6"/>
  <c r="N230" i="6"/>
  <c r="N210" i="6"/>
  <c r="N208" i="6"/>
  <c r="N191" i="6"/>
  <c r="N182" i="6"/>
  <c r="N181" i="6"/>
  <c r="N168" i="6"/>
  <c r="N164" i="6"/>
  <c r="N155" i="6"/>
  <c r="N149" i="6"/>
  <c r="N148" i="6"/>
  <c r="N138" i="6"/>
  <c r="N137" i="6"/>
  <c r="N136" i="6"/>
  <c r="N135" i="6"/>
  <c r="N134" i="6"/>
  <c r="N130" i="6"/>
  <c r="N125" i="6"/>
  <c r="N110" i="6"/>
  <c r="N91" i="6"/>
  <c r="N82" i="6"/>
  <c r="N78" i="6"/>
  <c r="N75" i="6"/>
  <c r="N73" i="6"/>
  <c r="N70" i="6"/>
  <c r="N51" i="6"/>
  <c r="N49" i="6"/>
  <c r="N45" i="6"/>
  <c r="N43" i="6"/>
  <c r="N41" i="6"/>
  <c r="N39" i="6"/>
  <c r="N29" i="6"/>
  <c r="N23" i="6"/>
  <c r="N20" i="6"/>
  <c r="N229" i="6"/>
  <c r="N228" i="6"/>
  <c r="N227" i="6"/>
  <c r="N226" i="6"/>
  <c r="N225" i="6"/>
  <c r="N224" i="6"/>
  <c r="N223" i="6"/>
  <c r="N222" i="6"/>
  <c r="N221" i="6"/>
  <c r="N219" i="6"/>
  <c r="N218" i="6"/>
  <c r="N217" i="6"/>
  <c r="N216" i="6"/>
  <c r="N215" i="6"/>
  <c r="N214" i="6"/>
  <c r="N212" i="6"/>
  <c r="N209" i="6"/>
  <c r="N188" i="6"/>
  <c r="N185" i="6"/>
  <c r="N184" i="6"/>
  <c r="N177" i="6"/>
  <c r="N162" i="6"/>
  <c r="N157" i="6"/>
  <c r="N154" i="6"/>
  <c r="N152" i="6"/>
  <c r="N132" i="6"/>
  <c r="N131" i="6"/>
  <c r="N129" i="6"/>
  <c r="N127" i="6"/>
  <c r="N122" i="6"/>
  <c r="N119" i="6"/>
  <c r="N102" i="6"/>
  <c r="N98" i="6"/>
  <c r="N97" i="6"/>
  <c r="N95" i="6"/>
  <c r="N87" i="6"/>
  <c r="N85" i="6"/>
  <c r="N71" i="6"/>
  <c r="N68" i="6"/>
  <c r="N64" i="6"/>
  <c r="N58" i="6"/>
  <c r="N50" i="6"/>
  <c r="N42" i="6"/>
  <c r="N33" i="6"/>
  <c r="N111" i="6"/>
  <c r="N94" i="6"/>
  <c r="N76" i="6"/>
  <c r="N112" i="6"/>
  <c r="N200" i="6"/>
  <c r="O12" i="6"/>
  <c r="O205" i="6" l="1"/>
  <c r="O116" i="6"/>
  <c r="O231" i="6"/>
  <c r="P231" i="6" s="1"/>
  <c r="R231" i="6" s="1"/>
  <c r="O210" i="6"/>
  <c r="P210" i="6" s="1"/>
  <c r="R210" i="6" s="1"/>
  <c r="O209" i="6"/>
  <c r="P209" i="6" s="1"/>
  <c r="R209" i="6" s="1"/>
  <c r="O208" i="6"/>
  <c r="P208" i="6" s="1"/>
  <c r="R208" i="6" s="1"/>
  <c r="O199" i="6"/>
  <c r="P199" i="6" s="1"/>
  <c r="R199" i="6" s="1"/>
  <c r="O194" i="6"/>
  <c r="P194" i="6" s="1"/>
  <c r="R194" i="6" s="1"/>
  <c r="O188" i="6"/>
  <c r="P188" i="6" s="1"/>
  <c r="R188" i="6" s="1"/>
  <c r="O185" i="6"/>
  <c r="P185" i="6" s="1"/>
  <c r="R185" i="6" s="1"/>
  <c r="O181" i="6"/>
  <c r="P181" i="6" s="1"/>
  <c r="R181" i="6" s="1"/>
  <c r="O179" i="6"/>
  <c r="P179" i="6" s="1"/>
  <c r="R179" i="6" s="1"/>
  <c r="O177" i="6"/>
  <c r="P177" i="6" s="1"/>
  <c r="R177" i="6" s="1"/>
  <c r="O171" i="6"/>
  <c r="P171" i="6" s="1"/>
  <c r="R171" i="6" s="1"/>
  <c r="O170" i="6"/>
  <c r="P170" i="6" s="1"/>
  <c r="R170" i="6" s="1"/>
  <c r="O168" i="6"/>
  <c r="P168" i="6" s="1"/>
  <c r="R168" i="6" s="1"/>
  <c r="O165" i="6"/>
  <c r="P165" i="6" s="1"/>
  <c r="R165" i="6" s="1"/>
  <c r="O164" i="6"/>
  <c r="P164" i="6" s="1"/>
  <c r="R164" i="6" s="1"/>
  <c r="O162" i="6"/>
  <c r="P162" i="6" s="1"/>
  <c r="R162" i="6" s="1"/>
  <c r="O161" i="6"/>
  <c r="P161" i="6" s="1"/>
  <c r="R161" i="6" s="1"/>
  <c r="O158" i="6"/>
  <c r="P158" i="6" s="1"/>
  <c r="R158" i="6" s="1"/>
  <c r="O157" i="6"/>
  <c r="P157" i="6" s="1"/>
  <c r="R157" i="6" s="1"/>
  <c r="O156" i="6"/>
  <c r="P156" i="6" s="1"/>
  <c r="R156" i="6" s="1"/>
  <c r="O149" i="6"/>
  <c r="P149" i="6" s="1"/>
  <c r="R149" i="6" s="1"/>
  <c r="O148" i="6"/>
  <c r="P148" i="6" s="1"/>
  <c r="R148" i="6" s="1"/>
  <c r="O146" i="6"/>
  <c r="P146" i="6" s="1"/>
  <c r="R146" i="6" s="1"/>
  <c r="O138" i="6"/>
  <c r="P138" i="6" s="1"/>
  <c r="R138" i="6" s="1"/>
  <c r="O137" i="6"/>
  <c r="P137" i="6" s="1"/>
  <c r="R137" i="6" s="1"/>
  <c r="O135" i="6"/>
  <c r="P135" i="6" s="1"/>
  <c r="R135" i="6" s="1"/>
  <c r="O134" i="6"/>
  <c r="P134" i="6" s="1"/>
  <c r="R134" i="6" s="1"/>
  <c r="O131" i="6"/>
  <c r="P131" i="6" s="1"/>
  <c r="R131" i="6" s="1"/>
  <c r="O129" i="6"/>
  <c r="P129" i="6" s="1"/>
  <c r="R129" i="6" s="1"/>
  <c r="O127" i="6"/>
  <c r="P127" i="6" s="1"/>
  <c r="R127" i="6" s="1"/>
  <c r="O125" i="6"/>
  <c r="P125" i="6" s="1"/>
  <c r="R125" i="6" s="1"/>
  <c r="O120" i="6"/>
  <c r="P120" i="6" s="1"/>
  <c r="R120" i="6" s="1"/>
  <c r="O119" i="6"/>
  <c r="P119" i="6" s="1"/>
  <c r="R119" i="6" s="1"/>
  <c r="O110" i="6"/>
  <c r="P110" i="6" s="1"/>
  <c r="R110" i="6" s="1"/>
  <c r="O105" i="6"/>
  <c r="P105" i="6" s="1"/>
  <c r="R105" i="6" s="1"/>
  <c r="O102" i="6"/>
  <c r="P102" i="6" s="1"/>
  <c r="R102" i="6" s="1"/>
  <c r="O99" i="6"/>
  <c r="P99" i="6" s="1"/>
  <c r="R99" i="6" s="1"/>
  <c r="O98" i="6"/>
  <c r="P98" i="6" s="1"/>
  <c r="R98" i="6" s="1"/>
  <c r="O97" i="6"/>
  <c r="P97" i="6" s="1"/>
  <c r="R97" i="6" s="1"/>
  <c r="O95" i="6"/>
  <c r="P95" i="6" s="1"/>
  <c r="R95" i="6" s="1"/>
  <c r="O91" i="6"/>
  <c r="P91" i="6" s="1"/>
  <c r="R91" i="6" s="1"/>
  <c r="O90" i="6"/>
  <c r="P90" i="6" s="1"/>
  <c r="R90" i="6" s="1"/>
  <c r="O87" i="6"/>
  <c r="P87" i="6" s="1"/>
  <c r="R87" i="6" s="1"/>
  <c r="O82" i="6"/>
  <c r="P82" i="6" s="1"/>
  <c r="R82" i="6" s="1"/>
  <c r="O81" i="6"/>
  <c r="P81" i="6" s="1"/>
  <c r="R81" i="6" s="1"/>
  <c r="O79" i="6"/>
  <c r="P79" i="6" s="1"/>
  <c r="R79" i="6" s="1"/>
  <c r="O77" i="6"/>
  <c r="P77" i="6" s="1"/>
  <c r="R77" i="6" s="1"/>
  <c r="O73" i="6"/>
  <c r="P73" i="6" s="1"/>
  <c r="R73" i="6" s="1"/>
  <c r="O72" i="6"/>
  <c r="P72" i="6" s="1"/>
  <c r="R72" i="6" s="1"/>
  <c r="O71" i="6"/>
  <c r="P71" i="6" s="1"/>
  <c r="R71" i="6" s="1"/>
  <c r="O70" i="6"/>
  <c r="P70" i="6" s="1"/>
  <c r="R70" i="6" s="1"/>
  <c r="O69" i="6"/>
  <c r="P69" i="6" s="1"/>
  <c r="R69" i="6" s="1"/>
  <c r="O68" i="6"/>
  <c r="P68" i="6" s="1"/>
  <c r="R68" i="6" s="1"/>
  <c r="O64" i="6"/>
  <c r="P64" i="6" s="1"/>
  <c r="R64" i="6" s="1"/>
  <c r="O61" i="6"/>
  <c r="P61" i="6" s="1"/>
  <c r="R61" i="6" s="1"/>
  <c r="O58" i="6"/>
  <c r="P58" i="6" s="1"/>
  <c r="R58" i="6" s="1"/>
  <c r="O57" i="6"/>
  <c r="P57" i="6" s="1"/>
  <c r="R57" i="6" s="1"/>
  <c r="O50" i="6"/>
  <c r="P50" i="6" s="1"/>
  <c r="R50" i="6" s="1"/>
  <c r="O49" i="6"/>
  <c r="P49" i="6" s="1"/>
  <c r="R49" i="6" s="1"/>
  <c r="O46" i="6"/>
  <c r="P46" i="6" s="1"/>
  <c r="R46" i="6" s="1"/>
  <c r="O45" i="6"/>
  <c r="P45" i="6" s="1"/>
  <c r="R45" i="6" s="1"/>
  <c r="O43" i="6"/>
  <c r="P43" i="6" s="1"/>
  <c r="R43" i="6" s="1"/>
  <c r="O41" i="6"/>
  <c r="P41" i="6" s="1"/>
  <c r="R41" i="6" s="1"/>
  <c r="O39" i="6"/>
  <c r="P39" i="6" s="1"/>
  <c r="R39" i="6" s="1"/>
  <c r="O36" i="6"/>
  <c r="P36" i="6" s="1"/>
  <c r="R36" i="6" s="1"/>
  <c r="O33" i="6"/>
  <c r="P33" i="6" s="1"/>
  <c r="R33" i="6" s="1"/>
  <c r="O32" i="6"/>
  <c r="P32" i="6" s="1"/>
  <c r="R32" i="6" s="1"/>
  <c r="O29" i="6"/>
  <c r="P29" i="6" s="1"/>
  <c r="R29" i="6" s="1"/>
  <c r="O28" i="6"/>
  <c r="P28" i="6" s="1"/>
  <c r="R28" i="6" s="1"/>
  <c r="O24" i="6"/>
  <c r="P24" i="6" s="1"/>
  <c r="R24" i="6" s="1"/>
  <c r="O23" i="6"/>
  <c r="P23" i="6" s="1"/>
  <c r="R23" i="6" s="1"/>
  <c r="O20" i="6"/>
  <c r="P20" i="6" s="1"/>
  <c r="R20" i="6" s="1"/>
  <c r="O16" i="6"/>
  <c r="P16" i="6" s="1"/>
  <c r="R16" i="6" s="1"/>
  <c r="O230" i="6"/>
  <c r="P230" i="6" s="1"/>
  <c r="R230" i="6" s="1"/>
  <c r="O232" i="6"/>
  <c r="P232" i="6" s="1"/>
  <c r="R232" i="6" s="1"/>
  <c r="O196" i="6"/>
  <c r="P196" i="6" s="1"/>
  <c r="R196" i="6" s="1"/>
  <c r="O190" i="6"/>
  <c r="P190" i="6" s="1"/>
  <c r="R190" i="6" s="1"/>
  <c r="O182" i="6"/>
  <c r="P182" i="6" s="1"/>
  <c r="R182" i="6" s="1"/>
  <c r="O176" i="6"/>
  <c r="P176" i="6" s="1"/>
  <c r="R176" i="6" s="1"/>
  <c r="O167" i="6"/>
  <c r="P167" i="6" s="1"/>
  <c r="R167" i="6" s="1"/>
  <c r="O155" i="6"/>
  <c r="P155" i="6" s="1"/>
  <c r="R155" i="6" s="1"/>
  <c r="O154" i="6"/>
  <c r="P154" i="6" s="1"/>
  <c r="R154" i="6" s="1"/>
  <c r="O136" i="6"/>
  <c r="P136" i="6" s="1"/>
  <c r="R136" i="6" s="1"/>
  <c r="O122" i="6"/>
  <c r="P122" i="6" s="1"/>
  <c r="R122" i="6" s="1"/>
  <c r="O100" i="6"/>
  <c r="P100" i="6" s="1"/>
  <c r="R100" i="6" s="1"/>
  <c r="O80" i="6"/>
  <c r="P80" i="6" s="1"/>
  <c r="R80" i="6" s="1"/>
  <c r="O63" i="6"/>
  <c r="P63" i="6" s="1"/>
  <c r="R63" i="6" s="1"/>
  <c r="O62" i="6"/>
  <c r="P62" i="6" s="1"/>
  <c r="R62" i="6" s="1"/>
  <c r="O60" i="6"/>
  <c r="P60" i="6" s="1"/>
  <c r="R60" i="6" s="1"/>
  <c r="O47" i="6"/>
  <c r="P47" i="6" s="1"/>
  <c r="R47" i="6" s="1"/>
  <c r="O42" i="6"/>
  <c r="P42" i="6" s="1"/>
  <c r="R42" i="6" s="1"/>
  <c r="O34" i="6"/>
  <c r="P34" i="6" s="1"/>
  <c r="R34" i="6" s="1"/>
  <c r="O31" i="6"/>
  <c r="P31" i="6" s="1"/>
  <c r="R31" i="6" s="1"/>
  <c r="O30" i="6"/>
  <c r="P30" i="6" s="1"/>
  <c r="R30" i="6" s="1"/>
  <c r="O26" i="6"/>
  <c r="P26" i="6" s="1"/>
  <c r="R26" i="6" s="1"/>
  <c r="O22" i="6"/>
  <c r="P22" i="6" s="1"/>
  <c r="R22" i="6" s="1"/>
  <c r="O21" i="6"/>
  <c r="P21" i="6" s="1"/>
  <c r="R21" i="6" s="1"/>
  <c r="O19" i="6"/>
  <c r="P19" i="6" s="1"/>
  <c r="R19" i="6" s="1"/>
  <c r="O239" i="6"/>
  <c r="P239" i="6" s="1"/>
  <c r="R239" i="6" s="1"/>
  <c r="O238" i="6"/>
  <c r="P238" i="6" s="1"/>
  <c r="R238" i="6" s="1"/>
  <c r="O237" i="6"/>
  <c r="P237" i="6" s="1"/>
  <c r="R237" i="6" s="1"/>
  <c r="O236" i="6"/>
  <c r="P236" i="6" s="1"/>
  <c r="R236" i="6" s="1"/>
  <c r="O235" i="6"/>
  <c r="P235" i="6" s="1"/>
  <c r="R235" i="6" s="1"/>
  <c r="O234" i="6"/>
  <c r="P234" i="6" s="1"/>
  <c r="R234" i="6" s="1"/>
  <c r="O233" i="6"/>
  <c r="P233" i="6" s="1"/>
  <c r="R233" i="6" s="1"/>
  <c r="O189" i="6"/>
  <c r="P189" i="6" s="1"/>
  <c r="R189" i="6" s="1"/>
  <c r="O187" i="6"/>
  <c r="P187" i="6" s="1"/>
  <c r="R187" i="6" s="1"/>
  <c r="O186" i="6"/>
  <c r="P186" i="6" s="1"/>
  <c r="R186" i="6" s="1"/>
  <c r="O184" i="6"/>
  <c r="P184" i="6" s="1"/>
  <c r="R184" i="6" s="1"/>
  <c r="O169" i="6"/>
  <c r="P169" i="6" s="1"/>
  <c r="R169" i="6" s="1"/>
  <c r="O159" i="6"/>
  <c r="P159" i="6" s="1"/>
  <c r="R159" i="6" s="1"/>
  <c r="O152" i="6"/>
  <c r="P152" i="6" s="1"/>
  <c r="R152" i="6" s="1"/>
  <c r="O147" i="6"/>
  <c r="P147" i="6" s="1"/>
  <c r="R147" i="6" s="1"/>
  <c r="O145" i="6"/>
  <c r="P145" i="6" s="1"/>
  <c r="R145" i="6" s="1"/>
  <c r="O132" i="6"/>
  <c r="P132" i="6" s="1"/>
  <c r="R132" i="6" s="1"/>
  <c r="O128" i="6"/>
  <c r="P128" i="6" s="1"/>
  <c r="R128" i="6" s="1"/>
  <c r="O121" i="6"/>
  <c r="P121" i="6" s="1"/>
  <c r="R121" i="6" s="1"/>
  <c r="O107" i="6"/>
  <c r="P107" i="6" s="1"/>
  <c r="R107" i="6" s="1"/>
  <c r="O104" i="6"/>
  <c r="P104" i="6" s="1"/>
  <c r="R104" i="6" s="1"/>
  <c r="O101" i="6"/>
  <c r="P101" i="6" s="1"/>
  <c r="R101" i="6" s="1"/>
  <c r="O96" i="6"/>
  <c r="P96" i="6" s="1"/>
  <c r="R96" i="6" s="1"/>
  <c r="O93" i="6"/>
  <c r="P93" i="6" s="1"/>
  <c r="R93" i="6" s="1"/>
  <c r="O89" i="6"/>
  <c r="P89" i="6" s="1"/>
  <c r="R89" i="6" s="1"/>
  <c r="O88" i="6"/>
  <c r="P88" i="6" s="1"/>
  <c r="R88" i="6" s="1"/>
  <c r="O85" i="6"/>
  <c r="P85" i="6" s="1"/>
  <c r="R85" i="6" s="1"/>
  <c r="O84" i="6"/>
  <c r="P84" i="6" s="1"/>
  <c r="R84" i="6" s="1"/>
  <c r="O74" i="6"/>
  <c r="P74" i="6" s="1"/>
  <c r="R74" i="6" s="1"/>
  <c r="O59" i="6"/>
  <c r="P59" i="6" s="1"/>
  <c r="R59" i="6" s="1"/>
  <c r="O56" i="6"/>
  <c r="P56" i="6" s="1"/>
  <c r="R56" i="6" s="1"/>
  <c r="O54" i="6"/>
  <c r="P54" i="6" s="1"/>
  <c r="R54" i="6" s="1"/>
  <c r="O53" i="6"/>
  <c r="P53" i="6" s="1"/>
  <c r="R53" i="6" s="1"/>
  <c r="O44" i="6"/>
  <c r="P44" i="6" s="1"/>
  <c r="R44" i="6" s="1"/>
  <c r="O37" i="6"/>
  <c r="P37" i="6" s="1"/>
  <c r="R37" i="6" s="1"/>
  <c r="O35" i="6"/>
  <c r="P35" i="6" s="1"/>
  <c r="R35" i="6" s="1"/>
  <c r="O27" i="6"/>
  <c r="P27" i="6" s="1"/>
  <c r="R27" i="6" s="1"/>
  <c r="O229" i="6"/>
  <c r="P229" i="6" s="1"/>
  <c r="R229" i="6" s="1"/>
  <c r="O228" i="6"/>
  <c r="P228" i="6" s="1"/>
  <c r="R228" i="6" s="1"/>
  <c r="O227" i="6"/>
  <c r="P227" i="6" s="1"/>
  <c r="R227" i="6" s="1"/>
  <c r="O226" i="6"/>
  <c r="P226" i="6" s="1"/>
  <c r="R226" i="6" s="1"/>
  <c r="O225" i="6"/>
  <c r="P225" i="6" s="1"/>
  <c r="R225" i="6" s="1"/>
  <c r="O224" i="6"/>
  <c r="P224" i="6" s="1"/>
  <c r="R224" i="6" s="1"/>
  <c r="O223" i="6"/>
  <c r="P223" i="6" s="1"/>
  <c r="R223" i="6" s="1"/>
  <c r="O222" i="6"/>
  <c r="P222" i="6" s="1"/>
  <c r="R222" i="6" s="1"/>
  <c r="O221" i="6"/>
  <c r="P221" i="6" s="1"/>
  <c r="R221" i="6" s="1"/>
  <c r="O219" i="6"/>
  <c r="P219" i="6" s="1"/>
  <c r="R219" i="6" s="1"/>
  <c r="O218" i="6"/>
  <c r="P218" i="6" s="1"/>
  <c r="R218" i="6" s="1"/>
  <c r="O217" i="6"/>
  <c r="P217" i="6" s="1"/>
  <c r="R217" i="6" s="1"/>
  <c r="O216" i="6"/>
  <c r="P216" i="6" s="1"/>
  <c r="R216" i="6" s="1"/>
  <c r="O215" i="6"/>
  <c r="P215" i="6" s="1"/>
  <c r="R215" i="6" s="1"/>
  <c r="O214" i="6"/>
  <c r="P214" i="6" s="1"/>
  <c r="R214" i="6" s="1"/>
  <c r="O212" i="6"/>
  <c r="P212" i="6" s="1"/>
  <c r="R212" i="6" s="1"/>
  <c r="O211" i="6"/>
  <c r="P211" i="6" s="1"/>
  <c r="R211" i="6" s="1"/>
  <c r="O191" i="6"/>
  <c r="P191" i="6" s="1"/>
  <c r="R191" i="6" s="1"/>
  <c r="O180" i="6"/>
  <c r="P180" i="6" s="1"/>
  <c r="R180" i="6" s="1"/>
  <c r="O178" i="6"/>
  <c r="P178" i="6" s="1"/>
  <c r="R178" i="6" s="1"/>
  <c r="O166" i="6"/>
  <c r="P166" i="6" s="1"/>
  <c r="R166" i="6" s="1"/>
  <c r="O163" i="6"/>
  <c r="P163" i="6" s="1"/>
  <c r="R163" i="6" s="1"/>
  <c r="O160" i="6"/>
  <c r="P160" i="6" s="1"/>
  <c r="R160" i="6" s="1"/>
  <c r="O153" i="6"/>
  <c r="P153" i="6" s="1"/>
  <c r="R153" i="6" s="1"/>
  <c r="O151" i="6"/>
  <c r="P151" i="6" s="1"/>
  <c r="R151" i="6" s="1"/>
  <c r="O130" i="6"/>
  <c r="P130" i="6" s="1"/>
  <c r="R130" i="6" s="1"/>
  <c r="O126" i="6"/>
  <c r="P126" i="6" s="1"/>
  <c r="R126" i="6" s="1"/>
  <c r="O109" i="6"/>
  <c r="P109" i="6" s="1"/>
  <c r="R109" i="6" s="1"/>
  <c r="O108" i="6"/>
  <c r="P108" i="6" s="1"/>
  <c r="R108" i="6" s="1"/>
  <c r="O106" i="6"/>
  <c r="P106" i="6" s="1"/>
  <c r="R106" i="6" s="1"/>
  <c r="O103" i="6"/>
  <c r="P103" i="6" s="1"/>
  <c r="R103" i="6" s="1"/>
  <c r="O92" i="6"/>
  <c r="P92" i="6" s="1"/>
  <c r="R92" i="6" s="1"/>
  <c r="O86" i="6"/>
  <c r="P86" i="6" s="1"/>
  <c r="R86" i="6" s="1"/>
  <c r="O83" i="6"/>
  <c r="P83" i="6" s="1"/>
  <c r="R83" i="6" s="1"/>
  <c r="O78" i="6"/>
  <c r="P78" i="6" s="1"/>
  <c r="R78" i="6" s="1"/>
  <c r="O75" i="6"/>
  <c r="P75" i="6" s="1"/>
  <c r="R75" i="6" s="1"/>
  <c r="O67" i="6"/>
  <c r="P67" i="6" s="1"/>
  <c r="R67" i="6" s="1"/>
  <c r="O66" i="6"/>
  <c r="P66" i="6" s="1"/>
  <c r="R66" i="6" s="1"/>
  <c r="O65" i="6"/>
  <c r="P65" i="6" s="1"/>
  <c r="R65" i="6" s="1"/>
  <c r="O55" i="6"/>
  <c r="P55" i="6" s="1"/>
  <c r="R55" i="6" s="1"/>
  <c r="O52" i="6"/>
  <c r="P52" i="6" s="1"/>
  <c r="R52" i="6" s="1"/>
  <c r="O51" i="6"/>
  <c r="P51" i="6" s="1"/>
  <c r="R51" i="6" s="1"/>
  <c r="O48" i="6"/>
  <c r="P48" i="6" s="1"/>
  <c r="R48" i="6" s="1"/>
  <c r="O40" i="6"/>
  <c r="P40" i="6" s="1"/>
  <c r="R40" i="6" s="1"/>
  <c r="O38" i="6"/>
  <c r="P38" i="6" s="1"/>
  <c r="R38" i="6" s="1"/>
  <c r="O25" i="6"/>
  <c r="P25" i="6" s="1"/>
  <c r="R25" i="6" s="1"/>
  <c r="O18" i="6"/>
  <c r="P18" i="6" s="1"/>
  <c r="R18" i="6" s="1"/>
  <c r="O17" i="6"/>
  <c r="P17" i="6" s="1"/>
  <c r="R17" i="6" s="1"/>
  <c r="O15" i="6"/>
  <c r="P15" i="6" s="1"/>
  <c r="R15" i="6" s="1"/>
  <c r="O111" i="6"/>
  <c r="P111" i="6" s="1"/>
  <c r="R111" i="6" s="1"/>
  <c r="O94" i="6"/>
  <c r="P94" i="6" s="1"/>
  <c r="R94" i="6" s="1"/>
  <c r="O76" i="6"/>
  <c r="P76" i="6" s="1"/>
  <c r="R76" i="6" s="1"/>
  <c r="O112" i="6"/>
  <c r="P112" i="6" s="1"/>
  <c r="R112" i="6" s="1"/>
  <c r="O200" i="6"/>
  <c r="P200" i="6" s="1"/>
  <c r="R200" i="6" s="1"/>
  <c r="H65" i="12" l="1"/>
  <c r="H67" i="12" s="1"/>
  <c r="G65" i="12" l="1"/>
  <c r="G67" i="12" s="1"/>
  <c r="O62" i="12"/>
</calcChain>
</file>

<file path=xl/sharedStrings.xml><?xml version="1.0" encoding="utf-8"?>
<sst xmlns="http://schemas.openxmlformats.org/spreadsheetml/2006/main" count="821" uniqueCount="371">
  <si>
    <t>%</t>
  </si>
  <si>
    <t>Variance</t>
  </si>
  <si>
    <t>금액</t>
    <phoneticPr fontId="7" type="noConversion"/>
  </si>
  <si>
    <t>미수금</t>
  </si>
  <si>
    <t>설명</t>
    <phoneticPr fontId="7" type="noConversion"/>
  </si>
  <si>
    <t>잡이익</t>
  </si>
  <si>
    <t>이자비용</t>
  </si>
  <si>
    <t>2. 손익계산서</t>
    <phoneticPr fontId="3" type="noConversion"/>
  </si>
  <si>
    <t>1. 재무상태표</t>
    <phoneticPr fontId="3" type="noConversion"/>
  </si>
  <si>
    <t>재무상태표</t>
    <phoneticPr fontId="7" type="noConversion"/>
  </si>
  <si>
    <t>선급금</t>
  </si>
  <si>
    <t>선급비용</t>
  </si>
  <si>
    <t>제품</t>
  </si>
  <si>
    <t>재공품</t>
  </si>
  <si>
    <t>원재료</t>
  </si>
  <si>
    <t>기계장치</t>
  </si>
  <si>
    <t>차량운반구</t>
  </si>
  <si>
    <t>미지급비용</t>
  </si>
  <si>
    <t>단기차입금</t>
  </si>
  <si>
    <t>손익계산서</t>
    <phoneticPr fontId="7" type="noConversion"/>
  </si>
  <si>
    <t>외화환산이익</t>
  </si>
  <si>
    <t>외환차손</t>
  </si>
  <si>
    <t>외화환산손실</t>
  </si>
  <si>
    <t>잡손실</t>
  </si>
  <si>
    <t>대손상각비</t>
  </si>
  <si>
    <t>외환차익</t>
  </si>
  <si>
    <t>공구와기구</t>
  </si>
  <si>
    <t>주식발행초과금</t>
  </si>
  <si>
    <t>기초제품재고액</t>
  </si>
  <si>
    <t>당기제품제조원가</t>
  </si>
  <si>
    <t>여비교통비</t>
  </si>
  <si>
    <t>접대비</t>
  </si>
  <si>
    <t>통신비</t>
  </si>
  <si>
    <t>수선비</t>
  </si>
  <si>
    <t>보험료</t>
  </si>
  <si>
    <t>교육훈련비</t>
  </si>
  <si>
    <t>도서인쇄비</t>
  </si>
  <si>
    <t>지급수수료</t>
  </si>
  <si>
    <t>광고선전비</t>
  </si>
  <si>
    <t>복리후생비</t>
  </si>
  <si>
    <t>소모품비</t>
  </si>
  <si>
    <t>차량유지비</t>
  </si>
  <si>
    <t>운반비</t>
  </si>
  <si>
    <t>이자수익</t>
  </si>
  <si>
    <t>미수수익</t>
  </si>
  <si>
    <t>토지</t>
  </si>
  <si>
    <t>건물</t>
  </si>
  <si>
    <t>건설중인자산</t>
  </si>
  <si>
    <t>미지급법인세</t>
  </si>
  <si>
    <t>이연법인세자산</t>
  </si>
  <si>
    <t>자본금</t>
  </si>
  <si>
    <t>퇴직급여</t>
  </si>
  <si>
    <t>감가상각비</t>
  </si>
  <si>
    <t>유형자산처분이익</t>
  </si>
  <si>
    <t>법인세비용</t>
  </si>
  <si>
    <t>3. 제조원가명세서</t>
    <phoneticPr fontId="7" type="noConversion"/>
  </si>
  <si>
    <t>제조원가명세서</t>
    <phoneticPr fontId="7" type="noConversion"/>
  </si>
  <si>
    <t>상품</t>
  </si>
  <si>
    <t>구축물</t>
  </si>
  <si>
    <t>자기주식</t>
  </si>
  <si>
    <t>수도광열비</t>
  </si>
  <si>
    <t>Assign</t>
    <phoneticPr fontId="7" type="noConversion"/>
  </si>
  <si>
    <t>전기</t>
    <phoneticPr fontId="7" type="noConversion"/>
  </si>
  <si>
    <t>단기금융상품</t>
  </si>
  <si>
    <t>중요성 양정기준</t>
    <phoneticPr fontId="7" type="noConversion"/>
  </si>
  <si>
    <t>유의중요성 x 75%</t>
    <phoneticPr fontId="7" type="noConversion"/>
  </si>
  <si>
    <t>유의한 계정과목여부</t>
  </si>
  <si>
    <t>양적</t>
  </si>
  <si>
    <t>질적</t>
  </si>
  <si>
    <t>결론</t>
  </si>
  <si>
    <t>중요성 양정기준</t>
  </si>
  <si>
    <t>유의중요성 x 75%</t>
  </si>
  <si>
    <t>BDO</t>
  </si>
  <si>
    <t>CLIENT NAME</t>
  </si>
  <si>
    <t>Preparer</t>
    <phoneticPr fontId="7" type="noConversion"/>
  </si>
  <si>
    <t>Reviewer</t>
    <phoneticPr fontId="7" type="noConversion"/>
  </si>
  <si>
    <t>Date</t>
    <phoneticPr fontId="7" type="noConversion"/>
  </si>
  <si>
    <t>DOCUMENT NAME</t>
  </si>
  <si>
    <t>PERIOD END</t>
  </si>
  <si>
    <t>Engagement Materiality</t>
  </si>
  <si>
    <t>Performance Materiality</t>
  </si>
  <si>
    <t>Currency</t>
  </si>
  <si>
    <t>DOCUMENT MANAGER REF</t>
  </si>
  <si>
    <t>No Rounding</t>
  </si>
  <si>
    <t>계획단계 분석적절차 - Planning Analytical Review</t>
    <phoneticPr fontId="7" type="noConversion"/>
  </si>
  <si>
    <t>부가세대급금</t>
  </si>
  <si>
    <t>기타자본잉여금</t>
  </si>
  <si>
    <t>지분법자본변동</t>
  </si>
  <si>
    <t>지급임차료</t>
  </si>
  <si>
    <t>무형자산상각비</t>
  </si>
  <si>
    <t>유형자산처분손실</t>
  </si>
  <si>
    <t>재무상태표</t>
    <phoneticPr fontId="3" type="noConversion"/>
  </si>
  <si>
    <t>(단위 : 원)</t>
  </si>
  <si>
    <t>과 목</t>
  </si>
  <si>
    <t>주석</t>
    <phoneticPr fontId="3" type="noConversion"/>
  </si>
  <si>
    <t>자산</t>
  </si>
  <si>
    <t>자산총계</t>
  </si>
  <si>
    <t>부채</t>
  </si>
  <si>
    <t>부채총계</t>
  </si>
  <si>
    <t>자본</t>
  </si>
  <si>
    <t>자본총계</t>
  </si>
  <si>
    <t>부채및자본총계</t>
  </si>
  <si>
    <t>매출채권</t>
  </si>
  <si>
    <t>비품</t>
  </si>
  <si>
    <t>매입채무</t>
  </si>
  <si>
    <t>미지급금</t>
  </si>
  <si>
    <t>장기미지급금</t>
  </si>
  <si>
    <t>예수금</t>
  </si>
  <si>
    <t>미처분이익잉여금</t>
  </si>
  <si>
    <t>급여</t>
  </si>
  <si>
    <t>기부금</t>
  </si>
  <si>
    <t>회사로부터 제시받은 왜곡표시</t>
    <phoneticPr fontId="41" type="noConversion"/>
  </si>
  <si>
    <t>회사명:</t>
    <phoneticPr fontId="3" type="noConversion"/>
  </si>
  <si>
    <t>작성자:</t>
    <phoneticPr fontId="3" type="noConversion"/>
  </si>
  <si>
    <t>일자:</t>
    <phoneticPr fontId="3" type="noConversion"/>
  </si>
  <si>
    <t>결산일:</t>
  </si>
  <si>
    <t>검토자:</t>
    <phoneticPr fontId="3" type="noConversion"/>
  </si>
  <si>
    <t>Description</t>
    <phoneticPr fontId="45" type="noConversion"/>
  </si>
  <si>
    <t>BS</t>
    <phoneticPr fontId="45" type="noConversion"/>
  </si>
  <si>
    <t>IS</t>
    <phoneticPr fontId="45" type="noConversion"/>
  </si>
  <si>
    <t>손익에 미치는 효과</t>
    <phoneticPr fontId="3" type="noConversion"/>
  </si>
  <si>
    <t>Accep
-ted</t>
    <phoneticPr fontId="45" type="noConversion"/>
  </si>
  <si>
    <t>Pass
-ed</t>
    <phoneticPr fontId="45" type="noConversion"/>
  </si>
  <si>
    <t>Dr)</t>
    <phoneticPr fontId="45" type="noConversion"/>
  </si>
  <si>
    <t>Cr)</t>
    <phoneticPr fontId="45" type="noConversion"/>
  </si>
  <si>
    <t>수정사항 효과 합계</t>
    <phoneticPr fontId="45" type="noConversion"/>
  </si>
  <si>
    <t>왜곡표시</t>
    <phoneticPr fontId="3" type="noConversion"/>
  </si>
  <si>
    <t>정산표</t>
    <phoneticPr fontId="3" type="noConversion"/>
  </si>
  <si>
    <t>diff</t>
    <phoneticPr fontId="3" type="noConversion"/>
  </si>
  <si>
    <t>지분법이익</t>
  </si>
  <si>
    <t>지분법손실</t>
  </si>
  <si>
    <t>Dr</t>
    <phoneticPr fontId="3" type="noConversion"/>
  </si>
  <si>
    <t>Cr</t>
    <phoneticPr fontId="3" type="noConversion"/>
  </si>
  <si>
    <t>당기(검토후제시)</t>
    <phoneticPr fontId="7" type="noConversion"/>
  </si>
  <si>
    <t>유의한 계정과목</t>
    <phoneticPr fontId="7" type="noConversion"/>
  </si>
  <si>
    <t>여부 결론</t>
    <phoneticPr fontId="7" type="noConversion"/>
  </si>
  <si>
    <t>제품매출액</t>
  </si>
  <si>
    <t>&lt;comment&gt;</t>
  </si>
  <si>
    <t>매입채무회전율</t>
  </si>
  <si>
    <t>당기(회사제시)</t>
    <phoneticPr fontId="7" type="noConversion"/>
  </si>
  <si>
    <t>Ⅰ.유동자산</t>
  </si>
  <si>
    <t>Ⅱ.비유동자산</t>
  </si>
  <si>
    <t>소프트웨어</t>
  </si>
  <si>
    <t>Ⅰ.유동부채</t>
  </si>
  <si>
    <t>부가세예수금</t>
  </si>
  <si>
    <t>Ⅱ.비유동부채</t>
  </si>
  <si>
    <t>장기차입금</t>
  </si>
  <si>
    <t>이연법인세부채</t>
  </si>
  <si>
    <t>Ⅰ.자본금</t>
  </si>
  <si>
    <t>Ⅱ.자본잉여금</t>
  </si>
  <si>
    <t>기타자본조정</t>
  </si>
  <si>
    <t>Ⅳ.기타포괄손익누계액</t>
  </si>
  <si>
    <t>Ⅴ.이익잉여금</t>
  </si>
  <si>
    <t>이익준비금</t>
  </si>
  <si>
    <t>기초상품재고액</t>
  </si>
  <si>
    <t>당기상품매입액</t>
  </si>
  <si>
    <t>타계정에서대체액</t>
  </si>
  <si>
    <t>타계정으로대체액</t>
  </si>
  <si>
    <t>기말제품재고액</t>
  </si>
  <si>
    <t>상여금</t>
  </si>
  <si>
    <t>제수당</t>
  </si>
  <si>
    <t>세금과공과금</t>
  </si>
  <si>
    <t>유형자산폐기손실</t>
  </si>
  <si>
    <t>배당금수익</t>
  </si>
  <si>
    <t>기초원재료재고액</t>
  </si>
  <si>
    <t>당기원재료매입액</t>
  </si>
  <si>
    <t>타계정에서입고액</t>
  </si>
  <si>
    <t>타계정으로출고액</t>
  </si>
  <si>
    <t>기말원재료재고액</t>
  </si>
  <si>
    <t>기타비유동자산</t>
  </si>
  <si>
    <t>Planning Analytical Review</t>
    <phoneticPr fontId="7" type="noConversion"/>
  </si>
  <si>
    <t>기말상품재고액</t>
  </si>
  <si>
    <t>당기 기간(개월)</t>
  </si>
  <si>
    <t>전기 기간(개월)</t>
  </si>
  <si>
    <t>[회사명]</t>
  </si>
  <si>
    <t>공시계정</t>
  </si>
  <si>
    <t>■ 입력 셀은 연한 노란색입니다. 그 외 셀은 수식이므로 덮어쓰지 마세요.</t>
  </si>
  <si>
    <t>1.당좌자산</t>
  </si>
  <si>
    <t>현금및현금성자산</t>
  </si>
  <si>
    <t>단기투자증권</t>
  </si>
  <si>
    <t>대손충당금(매출채권)</t>
  </si>
  <si>
    <t>대손충당금(미수금)</t>
  </si>
  <si>
    <t>선납세금</t>
  </si>
  <si>
    <t>단기대여금</t>
  </si>
  <si>
    <t>대손충당금(단기대여금)</t>
  </si>
  <si>
    <t>기타당좌자산</t>
  </si>
  <si>
    <t>2.재고자산</t>
  </si>
  <si>
    <t>평가충당금(상품)</t>
  </si>
  <si>
    <t>평가충당금(제품)</t>
  </si>
  <si>
    <t>평가충당금(재공품)</t>
  </si>
  <si>
    <t>평가충당금(원재료)</t>
  </si>
  <si>
    <t>기타재고자산</t>
  </si>
  <si>
    <t>1.투자자산</t>
  </si>
  <si>
    <t>장기금융상품</t>
  </si>
  <si>
    <t>장기투자증권</t>
  </si>
  <si>
    <t>지분법적용투자주식</t>
  </si>
  <si>
    <t>장기대여금</t>
  </si>
  <si>
    <t>대손충당금(장기대여금)</t>
  </si>
  <si>
    <t>퇴직보험예치금</t>
  </si>
  <si>
    <t>기타투자자산</t>
  </si>
  <si>
    <t>2.유형자산</t>
  </si>
  <si>
    <t>감가상각누계액(건물)</t>
  </si>
  <si>
    <t>감가상각누계액(구축물)</t>
  </si>
  <si>
    <t>감가상각누계액(기계장치)</t>
  </si>
  <si>
    <t>감가상각누계액(차량운반구)</t>
  </si>
  <si>
    <t>감가상각누계액(공구와기구)</t>
  </si>
  <si>
    <t>감가상각누계액(비품)</t>
  </si>
  <si>
    <t>기타유형자산</t>
  </si>
  <si>
    <t>3.무형자산</t>
  </si>
  <si>
    <t>영업권</t>
  </si>
  <si>
    <t>산업재산권</t>
  </si>
  <si>
    <t>기타무형자산</t>
  </si>
  <si>
    <t>4.기타비유동자산</t>
  </si>
  <si>
    <t>임차보증금</t>
  </si>
  <si>
    <t>기타보증금</t>
  </si>
  <si>
    <t>선수금</t>
  </si>
  <si>
    <t>유동성장기부채</t>
  </si>
  <si>
    <t>기타유동부채</t>
  </si>
  <si>
    <t>퇴직급여충당부채</t>
  </si>
  <si>
    <t>기타비유동부채</t>
  </si>
  <si>
    <t>Ⅲ.자본조정</t>
  </si>
  <si>
    <t>기타포괄손익누계액(기타)</t>
  </si>
  <si>
    <t>기타법정적립금</t>
  </si>
  <si>
    <t>임의적립금</t>
  </si>
  <si>
    <t>Ⅰ.매출액</t>
  </si>
  <si>
    <t>제품매출</t>
  </si>
  <si>
    <t>상품매출</t>
  </si>
  <si>
    <t>기타매출</t>
  </si>
  <si>
    <t>매출할인</t>
  </si>
  <si>
    <t>Ⅱ.매출원가</t>
  </si>
  <si>
    <t>1.상품매출원가</t>
  </si>
  <si>
    <t>타계정대체입고액(상품)</t>
  </si>
  <si>
    <t>매입할인(상품)</t>
  </si>
  <si>
    <t>타계정대체액(상품)</t>
  </si>
  <si>
    <t>재고자산평가손실</t>
  </si>
  <si>
    <t>재고자산평가손실환입</t>
  </si>
  <si>
    <t>2.제품매출원가</t>
  </si>
  <si>
    <t>타계정에서대체액(제품)</t>
  </si>
  <si>
    <t>타계정으로대체액(제품)</t>
  </si>
  <si>
    <t>Ⅲ.매출총이익</t>
  </si>
  <si>
    <t>매출총이익률</t>
  </si>
  <si>
    <t>제품총이익율</t>
  </si>
  <si>
    <t>상품총이익율</t>
  </si>
  <si>
    <t>Ⅳ.판매비와관리비</t>
  </si>
  <si>
    <t>1.인건비</t>
  </si>
  <si>
    <t>일용급여</t>
  </si>
  <si>
    <t>2.관리비</t>
  </si>
  <si>
    <t>접대비(기업업무추진비)</t>
  </si>
  <si>
    <t>회의비</t>
  </si>
  <si>
    <t>기타판매관리비</t>
  </si>
  <si>
    <t>Ⅴ.영업이익</t>
  </si>
  <si>
    <t>영업이익률</t>
  </si>
  <si>
    <t>판관비율</t>
  </si>
  <si>
    <t>Ⅵ.영업외수익</t>
  </si>
  <si>
    <t>Ⅶ.영업외비용</t>
  </si>
  <si>
    <t>Ⅷ.경상이익</t>
  </si>
  <si>
    <t>Ⅸ.특별이익</t>
  </si>
  <si>
    <t>기타특별이익</t>
  </si>
  <si>
    <t>Ⅹ.특별손실</t>
  </si>
  <si>
    <t>기타특별손실</t>
  </si>
  <si>
    <t>법인세비용차감전순이익</t>
  </si>
  <si>
    <t>법인세비용차감전순이익율</t>
  </si>
  <si>
    <t>당기순이익</t>
  </si>
  <si>
    <t>당기순이익율</t>
  </si>
  <si>
    <t>Ⅰ.원재료비</t>
  </si>
  <si>
    <t>Ⅱ.노무비</t>
  </si>
  <si>
    <t>용역비</t>
  </si>
  <si>
    <t>Ⅲ.제조경비</t>
  </si>
  <si>
    <t>출장비</t>
  </si>
  <si>
    <t>기타제조경비</t>
  </si>
  <si>
    <t>Ⅳ.당기총제조비용</t>
  </si>
  <si>
    <t>기초재공품재고액</t>
  </si>
  <si>
    <t>기말재공품재고액</t>
  </si>
  <si>
    <t>Ⅴ.당기제품제조원가</t>
  </si>
  <si>
    <t>1. 비율분석</t>
  </si>
  <si>
    <t>(1) 활동성 비율</t>
  </si>
  <si>
    <t>구분</t>
  </si>
  <si>
    <t>증감</t>
  </si>
  <si>
    <t>총자산회전율</t>
  </si>
  <si>
    <t>자기자본회전율</t>
  </si>
  <si>
    <t>(2) 안정성 비율</t>
  </si>
  <si>
    <t>유동비율</t>
  </si>
  <si>
    <t>부채비율</t>
  </si>
  <si>
    <t>이자보상비율(당반기/전반기)</t>
  </si>
  <si>
    <t>(3) 수익성 비율</t>
  </si>
  <si>
    <t>총자본이익율</t>
  </si>
  <si>
    <t>자기자본이익율</t>
  </si>
  <si>
    <t>2. 매출</t>
  </si>
  <si>
    <t>증감액</t>
  </si>
  <si>
    <t>증감율</t>
  </si>
  <si>
    <t>상품매출액</t>
  </si>
  <si>
    <t>3. 매출원가</t>
  </si>
  <si>
    <t>1) 제품매출총이익율</t>
  </si>
  <si>
    <t>제품매출원가</t>
  </si>
  <si>
    <t>제품매출총이익</t>
  </si>
  <si>
    <t>제품매출총이익율</t>
  </si>
  <si>
    <t>3) 상품매출총이익율</t>
  </si>
  <si>
    <t>상품매출원가</t>
  </si>
  <si>
    <t>상품매출총이익</t>
  </si>
  <si>
    <t>상품매출총이익율</t>
  </si>
  <si>
    <t>4. 판관비 등</t>
  </si>
  <si>
    <t>(1) 급여/퇴직급여</t>
  </si>
  <si>
    <t>판관비</t>
  </si>
  <si>
    <t>제조원가</t>
  </si>
  <si>
    <t>합계</t>
  </si>
  <si>
    <t>(2) 감가상각비</t>
  </si>
  <si>
    <t>5. 매출채권</t>
  </si>
  <si>
    <t>매출채권 회전율</t>
  </si>
  <si>
    <t>매출액(연환산)</t>
  </si>
  <si>
    <t>기초매출채권</t>
  </si>
  <si>
    <t>기말매출채권</t>
  </si>
  <si>
    <t>평균매출채권</t>
  </si>
  <si>
    <t>매출채권회전율</t>
  </si>
  <si>
    <t>매출채권회수기일</t>
  </si>
  <si>
    <t>6. 재고자산</t>
  </si>
  <si>
    <t>(1) 재고자산 구성내역</t>
  </si>
  <si>
    <t>제품(*)</t>
  </si>
  <si>
    <t>평가충당금_제품</t>
  </si>
  <si>
    <t>평가충당금_상품</t>
  </si>
  <si>
    <t>평가충당금_재공품</t>
  </si>
  <si>
    <t>평가충당금_원재료</t>
  </si>
  <si>
    <t>총자산</t>
  </si>
  <si>
    <t>재고자산비율</t>
  </si>
  <si>
    <t>(2) 재고자산 회전율</t>
  </si>
  <si>
    <t>1) 원재료</t>
  </si>
  <si>
    <t>원재료매입액(연환산)</t>
  </si>
  <si>
    <t>기초원재료</t>
  </si>
  <si>
    <t>기말원재료</t>
  </si>
  <si>
    <t>평균원재료</t>
  </si>
  <si>
    <t>원재료회전율</t>
  </si>
  <si>
    <t>원재료사용기일</t>
  </si>
  <si>
    <t>2) 제품</t>
  </si>
  <si>
    <t>제품매출원가(연환산)</t>
  </si>
  <si>
    <t>기초제품</t>
  </si>
  <si>
    <t>기말제품</t>
  </si>
  <si>
    <t>평균제품</t>
  </si>
  <si>
    <t>재고자산회전율</t>
  </si>
  <si>
    <t>재고자산사용기일</t>
  </si>
  <si>
    <t>3) 상품</t>
  </si>
  <si>
    <t>상품매출원가(연환산)</t>
  </si>
  <si>
    <t>기초상품</t>
  </si>
  <si>
    <t>기말상품</t>
  </si>
  <si>
    <t>평균상품</t>
  </si>
  <si>
    <t>7. 매입채무</t>
  </si>
  <si>
    <t>기초매입채무</t>
  </si>
  <si>
    <t>기말매입채무</t>
  </si>
  <si>
    <t>평균매입채무</t>
  </si>
  <si>
    <t>매입채무지급기일</t>
  </si>
  <si>
    <t>&lt;Comment&gt;</t>
  </si>
  <si>
    <t>제 [  ](당) 기 [    ]년 [  ]월 [  ]일 현재</t>
    <phoneticPr fontId="3" type="noConversion"/>
  </si>
  <si>
    <t>제 [  ](전) 기 [    ]년 [  ]월 [  ]일 현재</t>
    <phoneticPr fontId="3" type="noConversion"/>
  </si>
  <si>
    <t>당기</t>
    <phoneticPr fontId="3" type="noConversion"/>
  </si>
  <si>
    <t>전기</t>
    <phoneticPr fontId="3" type="noConversion"/>
  </si>
  <si>
    <t>손익계산서</t>
    <phoneticPr fontId="3" type="noConversion"/>
  </si>
  <si>
    <t>제 [  ](당) 기 [    ]년 [  ]월 [  ]일부터 [    ]년 [  ]월 [  ]일까지</t>
    <phoneticPr fontId="3" type="noConversion"/>
  </si>
  <si>
    <t>제 [  ](전) 기 [    ]년 [  ]월 [  ]일부터 [    ]년 [  ]월 [  ]일까지</t>
    <phoneticPr fontId="3" type="noConversion"/>
  </si>
  <si>
    <t>이 파일은 일반기업회계기준(K-GAAP) 회사용 계획단계 분석적 검토(FAR) 표준 양식의 비식별 마스터입니다. 원본을 직접 수정하지 말고 사본을 만들어 사용하세요.</t>
  </si>
  <si>
    <t>■ FAR 시트: 당기(회사제시)=G열, 전기=K열, 조정분개 Dr/Cr=H·I열, 질적 판단=Q열. 계정과목은 회사 재무제표의 이름을 그대로 G열에 적습니다.</t>
  </si>
  <si>
    <t>■ 계정 행 추가/삭제: 각 그룹(당좌자산, 재고자산 등)의 계정 행은 회사에 맞게 추가·삭제합니다. 그룹 안쪽에 행을 삽입하면 소계·분석 수식이 자동으로 따라갑니다. 분석 파트가 참조하는 계정(매출채권, 대손충당금, 재고자산 구성, 매입채무 등)은 행을 지우지 말고 금액을 0으로 두세요.</t>
  </si>
  <si>
    <t>■ 부호: 대손충당금, 감가상각누계액, 자기주식, 기말재고액, 매출할인처럼 차감 성격 계정은 음수로 입력합니다. 부채·자본·수익 행은 대변 증가 기준으로 계산됩니다.</t>
  </si>
  <si>
    <t>■ 기간(개월): FAR 시트 P5(당기), P6(전기)에 입력합니다. 연환산 계산이 이 값을 사용하며, 비어 있으면 Q5에 알림이 표시됩니다.</t>
  </si>
  <si>
    <t>■ 전전기 기말 잔액 입력: 분석 파트(매출채권, 원재료, 제품, 상품, 매입채무)의 노란색 기초 잔액 셀에 입력합니다.</t>
  </si>
  <si>
    <t>■ 공시BS, 공시IS 시트는 FAR의 행 구조에서 생성된 것입니다. FAR에 계정 행을 추가하면 공시 시트도 다시 생성해야 합니다.</t>
  </si>
  <si>
    <t>■ 설명란(S열)과 분석 코멘트는 근거가 확인된 사실만 작성하고, 원인이 확인되지 않으면 원인 확인 필요로 표기하세요.</t>
  </si>
  <si>
    <t>[이 양식의 특징]</t>
  </si>
  <si>
    <t>1) K-IFRS 양식(FAR)과 같은 열 구성과 분석 구성(비율분석, 매출, 매출원가, 판관비, 매출채권, 재고자산, 매입채무)을 사용합니다.</t>
  </si>
  <si>
    <t>2) 계정과목 열 머리글은 공시계정이며, 일반기업회계기준 회사는 재무제표의 계정과목을 그대로 사용합니다.</t>
  </si>
  <si>
    <t>3) 조정분개(Dr/Cr)는 H·I열에 입력하며, 손익 계정의 조정은 이익잉여금의 미처분이익잉여금 행에 자동 반영됩니다.</t>
  </si>
  <si>
    <t>4) 왜곡표시 시트는 회사 제시 왜곡표시를 기록하고, 합계를 FAR의 조정분개 합계와 대사합니다.</t>
  </si>
  <si>
    <t>5) 주석, 분개장, 공시CIE, 공시CF 시트는 포함하지 않았습니다.</t>
  </si>
  <si>
    <t>6) 구조 변경 이력: 원본(K-IFRS) 양식의 반기 고정 산식은 기간(개월) 입력값 기준으로, 차변 성격은 H+I-J, 대변 성격은 H+J-I로 통일했습니다.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</si>
</sst>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₩&quot;* #,##0.00_-;\-&quot;₩&quot;* #,##0.00_-;_-&quot;₩&quot;* &quot;-&quot;??_-;_-@_-"/>
    <numFmt numFmtId="176" formatCode="yyyy&quot;년&quot;\ m&quot;월&quot;\ d&quot;일&quot;;@"/>
    <numFmt numFmtId="177" formatCode="_(* #,##0_);_(* \(#,##0\);_(* &quot;-&quot;_);_(@_)"/>
    <numFmt numFmtId="178" formatCode="_(&quot;$&quot;* #,##0_);_(&quot;$&quot;* \(#,##0\);_(&quot;$&quot;* &quot;-&quot;_);_(@_)"/>
    <numFmt numFmtId="179" formatCode="#,##0;\(#,##0\);\-"/>
    <numFmt numFmtId="180" formatCode="#,##0.00;\(#,##0.00\);\-"/>
    <numFmt numFmtId="182" formatCode="#,###;[Red]\(#,###\);\-"/>
    <numFmt numFmtId="184" formatCode="_ * #,##0_ ;_ * \-#,##0_ ;_ * &quot;-&quot;_ ;_ @_ "/>
    <numFmt numFmtId="185" formatCode="#,##0_);\(#,##0\)"/>
    <numFmt numFmtId="186" formatCode="d\ mmmm\ yyyy"/>
    <numFmt numFmtId="188" formatCode="#,##0\ ;\(#,##0\);\-"/>
  </numFmts>
  <fonts count="53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0"/>
      <name val="Times New Roman"/>
      <family val="1"/>
    </font>
    <font>
      <b/>
      <sz val="10"/>
      <color theme="1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0"/>
      <name val="가는각진제목체"/>
      <family val="1"/>
      <charset val="129"/>
    </font>
    <font>
      <b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u/>
      <sz val="14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u/>
      <sz val="10"/>
      <color rgb="FF00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rgb="FF685040"/>
      <name val="맑은 고딕"/>
      <family val="3"/>
      <charset val="129"/>
      <scheme val="minor"/>
    </font>
    <font>
      <sz val="10"/>
      <color rgb="FF68504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color indexed="8"/>
      <name val="Arial"/>
      <family val="2"/>
    </font>
    <font>
      <sz val="10"/>
      <color theme="1"/>
      <name val="맑은 고딕"/>
      <family val="2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sz val="8"/>
      <name val="바탕"/>
      <family val="1"/>
      <charset val="129"/>
    </font>
    <font>
      <b/>
      <i/>
      <u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u/>
      <sz val="9"/>
      <color theme="10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1A3B"/>
        <bgColor indexed="64"/>
      </patternFill>
    </fill>
    <fill>
      <patternFill patternType="solid">
        <fgColor rgb="FFC0E9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/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/>
      <diagonal/>
    </border>
    <border>
      <left/>
      <right/>
      <top style="thin">
        <color theme="3" tint="-0.24994659260841701"/>
      </top>
      <bottom/>
      <diagonal/>
    </border>
    <border>
      <left style="thin">
        <color theme="3" tint="-0.24994659260841701"/>
      </left>
      <right/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24994659260841701"/>
      </left>
      <right/>
      <top/>
      <bottom/>
      <diagonal/>
    </border>
    <border>
      <left/>
      <right style="thin">
        <color theme="3" tint="-0.24994659260841701"/>
      </right>
      <top/>
      <bottom/>
      <diagonal/>
    </border>
    <border>
      <left style="thin">
        <color theme="3" tint="-0.24994659260841701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3">
    <xf numFmtId="0" fontId="0" fillId="0" borderId="0">
      <alignment vertical="center"/>
    </xf>
    <xf numFmtId="0" fontId="4" fillId="0" borderId="0">
      <alignment vertical="center"/>
    </xf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9" fillId="0" borderId="0"/>
    <xf numFmtId="0" fontId="11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1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9" fillId="0" borderId="0"/>
    <xf numFmtId="0" fontId="19" fillId="0" borderId="0"/>
    <xf numFmtId="0" fontId="19" fillId="0" borderId="0"/>
    <xf numFmtId="184" fontId="16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0" fontId="9" fillId="0" borderId="0"/>
    <xf numFmtId="0" fontId="11" fillId="0" borderId="0"/>
    <xf numFmtId="0" fontId="9" fillId="0" borderId="0"/>
    <xf numFmtId="0" fontId="9" fillId="0" borderId="0"/>
    <xf numFmtId="0" fontId="11" fillId="0" borderId="0"/>
    <xf numFmtId="0" fontId="4" fillId="0" borderId="0">
      <alignment vertical="center"/>
    </xf>
    <xf numFmtId="0" fontId="38" fillId="0" borderId="0"/>
    <xf numFmtId="0" fontId="2" fillId="0" borderId="0">
      <alignment vertical="center"/>
    </xf>
    <xf numFmtId="0" fontId="4" fillId="0" borderId="0">
      <alignment vertical="center"/>
    </xf>
    <xf numFmtId="41" fontId="11" fillId="0" borderId="0" applyFont="0" applyFill="0" applyBorder="0" applyAlignment="0" applyProtection="0"/>
    <xf numFmtId="0" fontId="1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/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50" fillId="0" borderId="0">
      <alignment vertical="center"/>
    </xf>
    <xf numFmtId="9" fontId="5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/>
    <xf numFmtId="0" fontId="11" fillId="0" borderId="0"/>
  </cellStyleXfs>
  <cellXfs count="320">
    <xf numFmtId="0" fontId="0" fillId="0" borderId="0" xfId="0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 readingOrder="1"/>
    </xf>
    <xf numFmtId="179" fontId="23" fillId="0" borderId="0" xfId="11" applyNumberFormat="1" applyFont="1" applyAlignment="1">
      <alignment vertical="center"/>
    </xf>
    <xf numFmtId="0" fontId="24" fillId="0" borderId="0" xfId="11" applyFont="1" applyAlignment="1">
      <alignment horizontal="left" vertical="center"/>
    </xf>
    <xf numFmtId="0" fontId="25" fillId="0" borderId="0" xfId="11" applyFont="1" applyAlignment="1">
      <alignment vertical="center"/>
    </xf>
    <xf numFmtId="0" fontId="25" fillId="0" borderId="0" xfId="11" applyFont="1" applyAlignment="1">
      <alignment vertical="center" wrapText="1"/>
    </xf>
    <xf numFmtId="0" fontId="8" fillId="0" borderId="0" xfId="11" applyFont="1" applyAlignment="1">
      <alignment horizontal="left" vertical="center"/>
    </xf>
    <xf numFmtId="0" fontId="26" fillId="0" borderId="0" xfId="11" applyFont="1" applyAlignment="1">
      <alignment horizontal="left" vertical="center"/>
    </xf>
    <xf numFmtId="179" fontId="25" fillId="0" borderId="0" xfId="11" applyNumberFormat="1" applyFont="1" applyAlignment="1">
      <alignment vertical="center"/>
    </xf>
    <xf numFmtId="0" fontId="21" fillId="0" borderId="0" xfId="11" applyFont="1" applyAlignment="1">
      <alignment vertical="center"/>
    </xf>
    <xf numFmtId="0" fontId="21" fillId="0" borderId="0" xfId="11" applyFont="1" applyAlignment="1">
      <alignment vertical="center" wrapText="1"/>
    </xf>
    <xf numFmtId="0" fontId="28" fillId="0" borderId="0" xfId="35" applyFont="1" applyAlignment="1">
      <alignment vertical="center"/>
    </xf>
    <xf numFmtId="0" fontId="28" fillId="0" borderId="0" xfId="36" applyFont="1" applyAlignment="1">
      <alignment vertical="center"/>
    </xf>
    <xf numFmtId="179" fontId="21" fillId="0" borderId="0" xfId="10" applyNumberFormat="1" applyFont="1">
      <alignment vertical="center"/>
    </xf>
    <xf numFmtId="0" fontId="29" fillId="4" borderId="32" xfId="0" applyFont="1" applyFill="1" applyBorder="1">
      <alignment vertical="center"/>
    </xf>
    <xf numFmtId="0" fontId="29" fillId="0" borderId="0" xfId="0" applyFont="1" applyAlignment="1">
      <alignment horizontal="center" vertical="center"/>
    </xf>
    <xf numFmtId="0" fontId="29" fillId="4" borderId="33" xfId="0" applyFont="1" applyFill="1" applyBorder="1">
      <alignment vertical="center"/>
    </xf>
    <xf numFmtId="14" fontId="29" fillId="4" borderId="33" xfId="0" applyNumberFormat="1" applyFont="1" applyFill="1" applyBorder="1">
      <alignment vertical="center"/>
    </xf>
    <xf numFmtId="0" fontId="29" fillId="4" borderId="0" xfId="37" applyFont="1" applyFill="1" applyAlignment="1">
      <alignment horizontal="center" vertical="center" shrinkToFit="1"/>
    </xf>
    <xf numFmtId="14" fontId="29" fillId="4" borderId="0" xfId="37" applyNumberFormat="1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vertical="center"/>
    </xf>
    <xf numFmtId="0" fontId="29" fillId="4" borderId="34" xfId="0" applyFont="1" applyFill="1" applyBorder="1">
      <alignment vertical="center"/>
    </xf>
    <xf numFmtId="179" fontId="30" fillId="6" borderId="24" xfId="33" applyNumberFormat="1" applyFont="1" applyFill="1" applyBorder="1" applyAlignment="1">
      <alignment horizontal="right" vertical="center"/>
    </xf>
    <xf numFmtId="0" fontId="30" fillId="6" borderId="24" xfId="37" applyFont="1" applyFill="1" applyBorder="1" applyAlignment="1">
      <alignment horizontal="center" vertical="center"/>
    </xf>
    <xf numFmtId="0" fontId="31" fillId="0" borderId="0" xfId="10" applyFont="1" applyAlignment="1">
      <alignment horizontal="center" vertical="center"/>
    </xf>
    <xf numFmtId="176" fontId="31" fillId="0" borderId="0" xfId="10" quotePrefix="1" applyNumberFormat="1" applyFont="1" applyAlignment="1">
      <alignment horizontal="left" vertical="center"/>
    </xf>
    <xf numFmtId="0" fontId="31" fillId="0" borderId="0" xfId="10" applyFont="1" applyAlignment="1">
      <alignment horizontal="right" vertical="center"/>
    </xf>
    <xf numFmtId="176" fontId="31" fillId="0" borderId="0" xfId="10" applyNumberFormat="1" applyFont="1" applyAlignment="1">
      <alignment horizontal="left" vertical="center"/>
    </xf>
    <xf numFmtId="179" fontId="21" fillId="0" borderId="0" xfId="11" applyNumberFormat="1" applyFont="1" applyAlignment="1">
      <alignment vertical="center"/>
    </xf>
    <xf numFmtId="177" fontId="32" fillId="3" borderId="9" xfId="11" applyNumberFormat="1" applyFont="1" applyFill="1" applyBorder="1" applyAlignment="1">
      <alignment vertical="center"/>
    </xf>
    <xf numFmtId="177" fontId="33" fillId="3" borderId="12" xfId="11" applyNumberFormat="1" applyFont="1" applyFill="1" applyBorder="1" applyAlignment="1">
      <alignment horizontal="center" vertical="center"/>
    </xf>
    <xf numFmtId="177" fontId="33" fillId="3" borderId="7" xfId="11" applyNumberFormat="1" applyFont="1" applyFill="1" applyBorder="1" applyAlignment="1">
      <alignment horizontal="center" vertical="center" wrapText="1"/>
    </xf>
    <xf numFmtId="177" fontId="33" fillId="0" borderId="0" xfId="11" applyNumberFormat="1" applyFont="1" applyAlignment="1">
      <alignment vertical="center"/>
    </xf>
    <xf numFmtId="0" fontId="33" fillId="0" borderId="0" xfId="11" applyFont="1" applyAlignment="1">
      <alignment horizontal="center" vertical="center" wrapText="1"/>
    </xf>
    <xf numFmtId="177" fontId="32" fillId="3" borderId="9" xfId="11" applyNumberFormat="1" applyFont="1" applyFill="1" applyBorder="1" applyAlignment="1">
      <alignment horizontal="left" vertical="center"/>
    </xf>
    <xf numFmtId="14" fontId="33" fillId="3" borderId="9" xfId="11" applyNumberFormat="1" applyFont="1" applyFill="1" applyBorder="1" applyAlignment="1">
      <alignment horizontal="center" vertical="center"/>
    </xf>
    <xf numFmtId="177" fontId="32" fillId="3" borderId="9" xfId="11" applyNumberFormat="1" applyFont="1" applyFill="1" applyBorder="1" applyAlignment="1">
      <alignment horizontal="center" vertical="center"/>
    </xf>
    <xf numFmtId="9" fontId="33" fillId="3" borderId="9" xfId="2" applyFont="1" applyFill="1" applyBorder="1" applyAlignment="1">
      <alignment horizontal="center" vertical="center"/>
    </xf>
    <xf numFmtId="185" fontId="34" fillId="3" borderId="9" xfId="2" applyNumberFormat="1" applyFont="1" applyFill="1" applyBorder="1" applyAlignment="1">
      <alignment horizontal="right" vertical="top"/>
    </xf>
    <xf numFmtId="177" fontId="34" fillId="3" borderId="9" xfId="11" applyNumberFormat="1" applyFont="1" applyFill="1" applyBorder="1" applyAlignment="1">
      <alignment horizontal="center" vertical="top"/>
    </xf>
    <xf numFmtId="177" fontId="34" fillId="3" borderId="27" xfId="11" applyNumberFormat="1" applyFont="1" applyFill="1" applyBorder="1" applyAlignment="1">
      <alignment horizontal="center" vertical="top"/>
    </xf>
    <xf numFmtId="179" fontId="33" fillId="3" borderId="5" xfId="11" applyNumberFormat="1" applyFont="1" applyFill="1" applyBorder="1" applyAlignment="1">
      <alignment vertical="center" wrapText="1"/>
    </xf>
    <xf numFmtId="177" fontId="33" fillId="0" borderId="0" xfId="11" applyNumberFormat="1" applyFont="1" applyAlignment="1">
      <alignment horizontal="center" vertical="center"/>
    </xf>
    <xf numFmtId="179" fontId="25" fillId="2" borderId="11" xfId="0" applyNumberFormat="1" applyFont="1" applyFill="1" applyBorder="1">
      <alignment vertical="center"/>
    </xf>
    <xf numFmtId="179" fontId="25" fillId="2" borderId="10" xfId="0" applyNumberFormat="1" applyFont="1" applyFill="1" applyBorder="1">
      <alignment vertical="center"/>
    </xf>
    <xf numFmtId="179" fontId="25" fillId="2" borderId="10" xfId="0" applyNumberFormat="1" applyFont="1" applyFill="1" applyBorder="1" applyAlignment="1">
      <alignment vertical="center" shrinkToFit="1"/>
    </xf>
    <xf numFmtId="10" fontId="25" fillId="0" borderId="4" xfId="23" applyNumberFormat="1" applyFont="1" applyFill="1" applyBorder="1" applyAlignment="1">
      <alignment vertical="center"/>
    </xf>
    <xf numFmtId="179" fontId="21" fillId="0" borderId="0" xfId="11" applyNumberFormat="1" applyFont="1" applyAlignment="1">
      <alignment horizontal="center" vertical="center"/>
    </xf>
    <xf numFmtId="179" fontId="21" fillId="0" borderId="0" xfId="11" applyNumberFormat="1" applyFont="1" applyAlignment="1">
      <alignment vertical="center" wrapText="1"/>
    </xf>
    <xf numFmtId="179" fontId="21" fillId="2" borderId="11" xfId="0" applyNumberFormat="1" applyFont="1" applyFill="1" applyBorder="1">
      <alignment vertical="center"/>
    </xf>
    <xf numFmtId="179" fontId="17" fillId="0" borderId="4" xfId="0" applyNumberFormat="1" applyFont="1" applyBorder="1">
      <alignment vertical="center"/>
    </xf>
    <xf numFmtId="179" fontId="21" fillId="2" borderId="10" xfId="0" applyNumberFormat="1" applyFont="1" applyFill="1" applyBorder="1">
      <alignment vertical="center"/>
    </xf>
    <xf numFmtId="0" fontId="21" fillId="2" borderId="10" xfId="0" applyFont="1" applyFill="1" applyBorder="1" applyAlignment="1">
      <alignment vertical="center" shrinkToFit="1"/>
    </xf>
    <xf numFmtId="182" fontId="6" fillId="0" borderId="4" xfId="0" applyNumberFormat="1" applyFont="1" applyBorder="1">
      <alignment vertical="center"/>
    </xf>
    <xf numFmtId="182" fontId="5" fillId="0" borderId="4" xfId="0" applyNumberFormat="1" applyFont="1" applyBorder="1">
      <alignment vertical="center"/>
    </xf>
    <xf numFmtId="10" fontId="21" fillId="0" borderId="4" xfId="23" applyNumberFormat="1" applyFont="1" applyFill="1" applyBorder="1" applyAlignment="1">
      <alignment vertical="center"/>
    </xf>
    <xf numFmtId="10" fontId="28" fillId="0" borderId="28" xfId="2" applyNumberFormat="1" applyFont="1" applyFill="1" applyBorder="1" applyAlignment="1">
      <alignment vertical="center"/>
    </xf>
    <xf numFmtId="177" fontId="28" fillId="0" borderId="28" xfId="11" applyNumberFormat="1" applyFont="1" applyBorder="1" applyAlignment="1">
      <alignment horizontal="center" vertical="center"/>
    </xf>
    <xf numFmtId="177" fontId="28" fillId="0" borderId="10" xfId="11" applyNumberFormat="1" applyFont="1" applyBorder="1" applyAlignment="1">
      <alignment horizontal="center" vertical="center"/>
    </xf>
    <xf numFmtId="179" fontId="21" fillId="0" borderId="0" xfId="11" applyNumberFormat="1" applyFont="1" applyAlignment="1">
      <alignment horizontal="left" vertical="center" wrapText="1"/>
    </xf>
    <xf numFmtId="0" fontId="25" fillId="2" borderId="10" xfId="0" applyFont="1" applyFill="1" applyBorder="1" applyAlignment="1">
      <alignment vertical="center" shrinkToFit="1"/>
    </xf>
    <xf numFmtId="182" fontId="17" fillId="0" borderId="4" xfId="0" applyNumberFormat="1" applyFont="1" applyBorder="1">
      <alignment vertical="center"/>
    </xf>
    <xf numFmtId="10" fontId="25" fillId="0" borderId="4" xfId="23" applyNumberFormat="1" applyFont="1" applyFill="1" applyBorder="1" applyAlignment="1">
      <alignment horizontal="center" vertical="center"/>
    </xf>
    <xf numFmtId="179" fontId="21" fillId="2" borderId="10" xfId="0" applyNumberFormat="1" applyFont="1" applyFill="1" applyBorder="1" applyAlignment="1">
      <alignment vertical="center" shrinkToFit="1"/>
    </xf>
    <xf numFmtId="177" fontId="21" fillId="0" borderId="0" xfId="11" applyNumberFormat="1" applyFont="1" applyAlignment="1">
      <alignment vertical="center"/>
    </xf>
    <xf numFmtId="179" fontId="21" fillId="0" borderId="0" xfId="2" applyNumberFormat="1" applyFont="1" applyFill="1" applyBorder="1" applyAlignment="1">
      <alignment vertical="center"/>
    </xf>
    <xf numFmtId="178" fontId="21" fillId="0" borderId="0" xfId="11" applyNumberFormat="1" applyFont="1" applyAlignment="1">
      <alignment vertical="center"/>
    </xf>
    <xf numFmtId="177" fontId="21" fillId="0" borderId="0" xfId="11" applyNumberFormat="1" applyFont="1" applyAlignment="1">
      <alignment horizontal="center" vertical="center"/>
    </xf>
    <xf numFmtId="179" fontId="33" fillId="3" borderId="8" xfId="11" applyNumberFormat="1" applyFont="1" applyFill="1" applyBorder="1" applyAlignment="1">
      <alignment vertical="center"/>
    </xf>
    <xf numFmtId="179" fontId="33" fillId="3" borderId="6" xfId="11" applyNumberFormat="1" applyFont="1" applyFill="1" applyBorder="1" applyAlignment="1">
      <alignment vertical="center"/>
    </xf>
    <xf numFmtId="179" fontId="33" fillId="3" borderId="7" xfId="11" applyNumberFormat="1" applyFont="1" applyFill="1" applyBorder="1" applyAlignment="1">
      <alignment vertical="center"/>
    </xf>
    <xf numFmtId="179" fontId="33" fillId="0" borderId="0" xfId="11" applyNumberFormat="1" applyFont="1" applyAlignment="1">
      <alignment vertical="center"/>
    </xf>
    <xf numFmtId="179" fontId="33" fillId="0" borderId="0" xfId="11" applyNumberFormat="1" applyFont="1" applyAlignment="1">
      <alignment horizontal="center" vertical="center" wrapText="1"/>
    </xf>
    <xf numFmtId="14" fontId="33" fillId="3" borderId="9" xfId="11" quotePrefix="1" applyNumberFormat="1" applyFont="1" applyFill="1" applyBorder="1" applyAlignment="1">
      <alignment horizontal="center" vertical="center"/>
    </xf>
    <xf numFmtId="179" fontId="32" fillId="3" borderId="9" xfId="11" applyNumberFormat="1" applyFont="1" applyFill="1" applyBorder="1" applyAlignment="1">
      <alignment horizontal="center" vertical="center"/>
    </xf>
    <xf numFmtId="179" fontId="33" fillId="3" borderId="9" xfId="2" applyNumberFormat="1" applyFont="1" applyFill="1" applyBorder="1" applyAlignment="1">
      <alignment horizontal="center" vertical="center"/>
    </xf>
    <xf numFmtId="179" fontId="33" fillId="3" borderId="5" xfId="2" applyNumberFormat="1" applyFont="1" applyFill="1" applyBorder="1" applyAlignment="1">
      <alignment horizontal="center" vertical="center"/>
    </xf>
    <xf numFmtId="179" fontId="33" fillId="0" borderId="0" xfId="11" applyNumberFormat="1" applyFont="1" applyAlignment="1">
      <alignment horizontal="center" vertical="center"/>
    </xf>
    <xf numFmtId="179" fontId="32" fillId="0" borderId="0" xfId="11" applyNumberFormat="1" applyFont="1" applyAlignment="1">
      <alignment horizontal="left" vertical="center"/>
    </xf>
    <xf numFmtId="179" fontId="32" fillId="0" borderId="0" xfId="11" applyNumberFormat="1" applyFont="1" applyAlignment="1">
      <alignment horizontal="left" vertical="center" wrapText="1"/>
    </xf>
    <xf numFmtId="179" fontId="25" fillId="0" borderId="4" xfId="11" applyNumberFormat="1" applyFont="1" applyBorder="1" applyAlignment="1">
      <alignment horizontal="left" vertical="center" wrapText="1"/>
    </xf>
    <xf numFmtId="179" fontId="25" fillId="0" borderId="0" xfId="11" applyNumberFormat="1" applyFont="1" applyAlignment="1">
      <alignment horizontal="right" vertical="center"/>
    </xf>
    <xf numFmtId="0" fontId="21" fillId="2" borderId="10" xfId="0" applyFont="1" applyFill="1" applyBorder="1">
      <alignment vertical="center"/>
    </xf>
    <xf numFmtId="179" fontId="21" fillId="0" borderId="4" xfId="11" applyNumberFormat="1" applyFont="1" applyBorder="1" applyAlignment="1">
      <alignment vertical="center"/>
    </xf>
    <xf numFmtId="179" fontId="21" fillId="0" borderId="4" xfId="11" applyNumberFormat="1" applyFont="1" applyBorder="1" applyAlignment="1">
      <alignment horizontal="left" vertical="center" wrapText="1"/>
    </xf>
    <xf numFmtId="179" fontId="21" fillId="0" borderId="0" xfId="11" applyNumberFormat="1" applyFont="1" applyAlignment="1">
      <alignment horizontal="left" vertical="center"/>
    </xf>
    <xf numFmtId="179" fontId="25" fillId="2" borderId="8" xfId="0" applyNumberFormat="1" applyFont="1" applyFill="1" applyBorder="1">
      <alignment vertical="center"/>
    </xf>
    <xf numFmtId="179" fontId="25" fillId="2" borderId="7" xfId="0" applyNumberFormat="1" applyFont="1" applyFill="1" applyBorder="1">
      <alignment vertical="center"/>
    </xf>
    <xf numFmtId="179" fontId="21" fillId="2" borderId="17" xfId="0" applyNumberFormat="1" applyFont="1" applyFill="1" applyBorder="1">
      <alignment vertical="center"/>
    </xf>
    <xf numFmtId="179" fontId="22" fillId="2" borderId="16" xfId="0" applyNumberFormat="1" applyFont="1" applyFill="1" applyBorder="1">
      <alignment vertical="center"/>
    </xf>
    <xf numFmtId="179" fontId="22" fillId="2" borderId="15" xfId="0" applyNumberFormat="1" applyFont="1" applyFill="1" applyBorder="1">
      <alignment vertical="center"/>
    </xf>
    <xf numFmtId="10" fontId="22" fillId="0" borderId="4" xfId="2" applyNumberFormat="1" applyFont="1" applyFill="1" applyBorder="1" applyAlignment="1">
      <alignment vertical="center"/>
    </xf>
    <xf numFmtId="179" fontId="25" fillId="0" borderId="0" xfId="11" applyNumberFormat="1" applyFont="1" applyAlignment="1">
      <alignment horizontal="center" vertical="center"/>
    </xf>
    <xf numFmtId="179" fontId="25" fillId="0" borderId="0" xfId="11" applyNumberFormat="1" applyFont="1" applyAlignment="1">
      <alignment vertical="center" wrapText="1"/>
    </xf>
    <xf numFmtId="179" fontId="5" fillId="0" borderId="0" xfId="0" applyNumberFormat="1" applyFont="1">
      <alignment vertical="center"/>
    </xf>
    <xf numFmtId="179" fontId="33" fillId="3" borderId="0" xfId="11" applyNumberFormat="1" applyFont="1" applyFill="1" applyAlignment="1">
      <alignment vertical="center"/>
    </xf>
    <xf numFmtId="179" fontId="33" fillId="3" borderId="11" xfId="2" applyNumberFormat="1" applyFont="1" applyFill="1" applyBorder="1" applyAlignment="1">
      <alignment horizontal="center" vertical="center"/>
    </xf>
    <xf numFmtId="179" fontId="33" fillId="3" borderId="0" xfId="2" applyNumberFormat="1" applyFont="1" applyFill="1" applyBorder="1" applyAlignment="1">
      <alignment horizontal="center" vertical="center"/>
    </xf>
    <xf numFmtId="179" fontId="25" fillId="0" borderId="0" xfId="11" applyNumberFormat="1" applyFont="1" applyAlignment="1">
      <alignment horizontal="left" vertical="center" wrapText="1"/>
    </xf>
    <xf numFmtId="10" fontId="28" fillId="0" borderId="4" xfId="2" applyNumberFormat="1" applyFont="1" applyFill="1" applyBorder="1" applyAlignment="1">
      <alignment vertical="center"/>
    </xf>
    <xf numFmtId="177" fontId="28" fillId="0" borderId="4" xfId="11" applyNumberFormat="1" applyFont="1" applyBorder="1" applyAlignment="1">
      <alignment horizontal="center" vertical="center"/>
    </xf>
    <xf numFmtId="177" fontId="25" fillId="0" borderId="0" xfId="11" applyNumberFormat="1" applyFont="1" applyAlignment="1">
      <alignment horizontal="center" vertical="center"/>
    </xf>
    <xf numFmtId="179" fontId="21" fillId="0" borderId="4" xfId="11" applyNumberFormat="1" applyFont="1" applyBorder="1" applyAlignment="1">
      <alignment horizontal="left" vertical="center"/>
    </xf>
    <xf numFmtId="179" fontId="5" fillId="0" borderId="4" xfId="11" quotePrefix="1" applyNumberFormat="1" applyFont="1" applyBorder="1" applyAlignment="1">
      <alignment vertical="center" wrapText="1"/>
    </xf>
    <xf numFmtId="177" fontId="36" fillId="0" borderId="0" xfId="11" applyNumberFormat="1" applyFont="1" applyAlignment="1">
      <alignment horizontal="center" vertical="center"/>
    </xf>
    <xf numFmtId="179" fontId="21" fillId="0" borderId="4" xfId="11" quotePrefix="1" applyNumberFormat="1" applyFont="1" applyBorder="1" applyAlignment="1">
      <alignment horizontal="left" vertical="center" wrapText="1"/>
    </xf>
    <xf numFmtId="179" fontId="0" fillId="7" borderId="0" xfId="0" applyNumberFormat="1" applyFill="1">
      <alignment vertical="center"/>
    </xf>
    <xf numFmtId="179" fontId="0" fillId="7" borderId="0" xfId="0" applyNumberFormat="1" applyFill="1" applyAlignment="1">
      <alignment horizontal="right" vertical="center"/>
    </xf>
    <xf numFmtId="179" fontId="17" fillId="8" borderId="4" xfId="0" applyNumberFormat="1" applyFont="1" applyFill="1" applyBorder="1" applyAlignment="1">
      <alignment horizontal="center" vertical="center" wrapText="1"/>
    </xf>
    <xf numFmtId="179" fontId="8" fillId="8" borderId="4" xfId="0" applyNumberFormat="1" applyFont="1" applyFill="1" applyBorder="1" applyAlignment="1">
      <alignment horizontal="center" vertical="center" wrapText="1"/>
    </xf>
    <xf numFmtId="179" fontId="5" fillId="7" borderId="4" xfId="0" applyNumberFormat="1" applyFont="1" applyFill="1" applyBorder="1" applyAlignment="1">
      <alignment vertical="center" wrapText="1"/>
    </xf>
    <xf numFmtId="179" fontId="6" fillId="7" borderId="4" xfId="0" applyNumberFormat="1" applyFont="1" applyFill="1" applyBorder="1" applyAlignment="1">
      <alignment vertical="center" wrapText="1"/>
    </xf>
    <xf numFmtId="188" fontId="6" fillId="7" borderId="4" xfId="0" applyNumberFormat="1" applyFont="1" applyFill="1" applyBorder="1" applyAlignment="1">
      <alignment horizontal="right" vertical="center" wrapText="1"/>
    </xf>
    <xf numFmtId="179" fontId="5" fillId="7" borderId="4" xfId="0" applyNumberFormat="1" applyFont="1" applyFill="1" applyBorder="1" applyAlignment="1">
      <alignment horizontal="left" vertical="center" wrapText="1" indent="1"/>
    </xf>
    <xf numFmtId="188" fontId="0" fillId="7" borderId="4" xfId="0" applyNumberFormat="1" applyFill="1" applyBorder="1">
      <alignment vertical="center"/>
    </xf>
    <xf numFmtId="179" fontId="5" fillId="7" borderId="0" xfId="0" applyNumberFormat="1" applyFont="1" applyFill="1">
      <alignment vertical="center"/>
    </xf>
    <xf numFmtId="179" fontId="0" fillId="7" borderId="0" xfId="0" applyNumberFormat="1" applyFill="1" applyAlignment="1">
      <alignment horizontal="left" vertical="center"/>
    </xf>
    <xf numFmtId="188" fontId="6" fillId="7" borderId="4" xfId="0" applyNumberFormat="1" applyFont="1" applyFill="1" applyBorder="1" applyAlignment="1">
      <alignment vertical="center" wrapText="1"/>
    </xf>
    <xf numFmtId="179" fontId="6" fillId="7" borderId="4" xfId="0" applyNumberFormat="1" applyFont="1" applyFill="1" applyBorder="1" applyAlignment="1">
      <alignment horizontal="left" vertical="center" wrapText="1" indent="1"/>
    </xf>
    <xf numFmtId="179" fontId="5" fillId="0" borderId="4" xfId="0" applyNumberFormat="1" applyFont="1" applyBorder="1">
      <alignment vertical="center"/>
    </xf>
    <xf numFmtId="179" fontId="5" fillId="8" borderId="4" xfId="0" applyNumberFormat="1" applyFont="1" applyFill="1" applyBorder="1" applyAlignment="1">
      <alignment horizontal="center" vertical="center"/>
    </xf>
    <xf numFmtId="0" fontId="42" fillId="0" borderId="1" xfId="44" applyFont="1" applyBorder="1">
      <alignment vertical="center"/>
    </xf>
    <xf numFmtId="0" fontId="42" fillId="0" borderId="1" xfId="44" applyFont="1" applyBorder="1" applyAlignment="1">
      <alignment horizontal="right" vertical="center"/>
    </xf>
    <xf numFmtId="0" fontId="43" fillId="0" borderId="1" xfId="44" applyFont="1" applyBorder="1" applyAlignment="1">
      <alignment horizontal="right" vertical="center"/>
    </xf>
    <xf numFmtId="0" fontId="43" fillId="0" borderId="0" xfId="44" applyFont="1" applyAlignment="1">
      <alignment horizontal="right" vertical="center"/>
    </xf>
    <xf numFmtId="0" fontId="42" fillId="0" borderId="0" xfId="44" applyFont="1">
      <alignment vertical="center"/>
    </xf>
    <xf numFmtId="0" fontId="5" fillId="0" borderId="37" xfId="0" applyFont="1" applyBorder="1">
      <alignment vertical="center"/>
    </xf>
    <xf numFmtId="0" fontId="5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21" fillId="0" borderId="0" xfId="44" applyFont="1" applyAlignment="1">
      <alignment horizontal="right" vertical="center"/>
    </xf>
    <xf numFmtId="0" fontId="5" fillId="0" borderId="1" xfId="0" applyFont="1" applyBorder="1">
      <alignment vertical="center"/>
    </xf>
    <xf numFmtId="0" fontId="40" fillId="0" borderId="1" xfId="0" applyFont="1" applyBorder="1">
      <alignment vertical="center"/>
    </xf>
    <xf numFmtId="0" fontId="44" fillId="0" borderId="1" xfId="0" applyFont="1" applyBorder="1">
      <alignment vertical="center"/>
    </xf>
    <xf numFmtId="14" fontId="5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vertical="center" wrapText="1"/>
    </xf>
    <xf numFmtId="0" fontId="21" fillId="0" borderId="1" xfId="44" applyFont="1" applyBorder="1" applyAlignment="1">
      <alignment horizontal="right" vertical="center"/>
    </xf>
    <xf numFmtId="0" fontId="40" fillId="0" borderId="0" xfId="0" applyFont="1">
      <alignment vertical="center"/>
    </xf>
    <xf numFmtId="0" fontId="21" fillId="0" borderId="0" xfId="44" applyFont="1">
      <alignment vertical="center"/>
    </xf>
    <xf numFmtId="179" fontId="35" fillId="0" borderId="0" xfId="44" applyNumberFormat="1" applyFont="1" applyAlignment="1">
      <alignment horizontal="center" vertical="center" wrapText="1"/>
    </xf>
    <xf numFmtId="179" fontId="37" fillId="0" borderId="0" xfId="44" applyNumberFormat="1" applyFont="1" applyAlignment="1">
      <alignment horizontal="center" vertical="center"/>
    </xf>
    <xf numFmtId="179" fontId="35" fillId="9" borderId="43" xfId="44" applyNumberFormat="1" applyFont="1" applyFill="1" applyBorder="1" applyAlignment="1">
      <alignment horizontal="center" vertical="center"/>
    </xf>
    <xf numFmtId="179" fontId="35" fillId="0" borderId="0" xfId="44" applyNumberFormat="1" applyFont="1" applyAlignment="1">
      <alignment horizontal="center" vertical="center"/>
    </xf>
    <xf numFmtId="179" fontId="21" fillId="0" borderId="0" xfId="44" applyNumberFormat="1" applyFont="1">
      <alignment vertical="center"/>
    </xf>
    <xf numFmtId="179" fontId="21" fillId="0" borderId="44" xfId="44" applyNumberFormat="1" applyFont="1" applyBorder="1">
      <alignment vertical="center"/>
    </xf>
    <xf numFmtId="179" fontId="21" fillId="0" borderId="35" xfId="45" applyNumberFormat="1" applyFont="1" applyFill="1" applyBorder="1" applyAlignment="1">
      <alignment vertical="center"/>
    </xf>
    <xf numFmtId="179" fontId="21" fillId="0" borderId="0" xfId="45" applyNumberFormat="1" applyFont="1" applyFill="1" applyBorder="1" applyAlignment="1">
      <alignment vertical="center"/>
    </xf>
    <xf numFmtId="179" fontId="21" fillId="0" borderId="35" xfId="44" applyNumberFormat="1" applyFont="1" applyBorder="1" applyAlignment="1">
      <alignment horizontal="center" vertical="center"/>
    </xf>
    <xf numFmtId="179" fontId="21" fillId="0" borderId="35" xfId="44" applyNumberFormat="1" applyFont="1" applyBorder="1">
      <alignment vertical="center"/>
    </xf>
    <xf numFmtId="179" fontId="35" fillId="0" borderId="0" xfId="44" applyNumberFormat="1" applyFont="1">
      <alignment vertical="center"/>
    </xf>
    <xf numFmtId="179" fontId="46" fillId="0" borderId="36" xfId="44" applyNumberFormat="1" applyFont="1" applyBorder="1">
      <alignment vertical="center"/>
    </xf>
    <xf numFmtId="179" fontId="37" fillId="0" borderId="35" xfId="44" applyNumberFormat="1" applyFont="1" applyBorder="1" applyAlignment="1">
      <alignment horizontal="center" vertical="center"/>
    </xf>
    <xf numFmtId="179" fontId="46" fillId="0" borderId="14" xfId="44" applyNumberFormat="1" applyFont="1" applyBorder="1">
      <alignment vertical="center"/>
    </xf>
    <xf numFmtId="179" fontId="21" fillId="0" borderId="1" xfId="44" applyNumberFormat="1" applyFont="1" applyBorder="1">
      <alignment vertical="center"/>
    </xf>
    <xf numFmtId="179" fontId="21" fillId="0" borderId="13" xfId="44" applyNumberFormat="1" applyFont="1" applyBorder="1">
      <alignment vertical="center"/>
    </xf>
    <xf numFmtId="179" fontId="21" fillId="0" borderId="2" xfId="45" applyNumberFormat="1" applyFont="1" applyFill="1" applyBorder="1" applyAlignment="1">
      <alignment vertical="center"/>
    </xf>
    <xf numFmtId="179" fontId="21" fillId="0" borderId="1" xfId="45" applyNumberFormat="1" applyFont="1" applyFill="1" applyBorder="1" applyAlignment="1">
      <alignment vertical="center"/>
    </xf>
    <xf numFmtId="179" fontId="21" fillId="0" borderId="2" xfId="44" applyNumberFormat="1" applyFont="1" applyBorder="1" applyAlignment="1">
      <alignment horizontal="center" vertical="center"/>
    </xf>
    <xf numFmtId="179" fontId="21" fillId="0" borderId="2" xfId="44" applyNumberFormat="1" applyFont="1" applyBorder="1">
      <alignment vertical="center"/>
    </xf>
    <xf numFmtId="179" fontId="21" fillId="10" borderId="4" xfId="45" applyNumberFormat="1" applyFont="1" applyFill="1" applyBorder="1" applyAlignment="1">
      <alignment vertical="center"/>
    </xf>
    <xf numFmtId="179" fontId="21" fillId="10" borderId="4" xfId="44" applyNumberFormat="1" applyFont="1" applyFill="1" applyBorder="1">
      <alignment vertical="center"/>
    </xf>
    <xf numFmtId="179" fontId="37" fillId="0" borderId="0" xfId="44" applyNumberFormat="1" applyFont="1">
      <alignment vertical="center"/>
    </xf>
    <xf numFmtId="179" fontId="21" fillId="0" borderId="37" xfId="44" applyNumberFormat="1" applyFont="1" applyBorder="1" applyAlignment="1">
      <alignment horizontal="center" vertical="center"/>
    </xf>
    <xf numFmtId="179" fontId="21" fillId="0" borderId="0" xfId="46" applyFont="1" applyFill="1" applyBorder="1" applyAlignment="1">
      <alignment vertical="center"/>
    </xf>
    <xf numFmtId="179" fontId="21" fillId="0" borderId="0" xfId="46" applyFont="1" applyAlignment="1">
      <alignment vertical="center"/>
    </xf>
    <xf numFmtId="0" fontId="27" fillId="5" borderId="29" xfId="0" applyFont="1" applyFill="1" applyBorder="1">
      <alignment vertical="center"/>
    </xf>
    <xf numFmtId="0" fontId="27" fillId="5" borderId="30" xfId="0" applyFont="1" applyFill="1" applyBorder="1">
      <alignment vertical="center"/>
    </xf>
    <xf numFmtId="0" fontId="27" fillId="5" borderId="31" xfId="0" applyFont="1" applyFill="1" applyBorder="1">
      <alignment vertical="center"/>
    </xf>
    <xf numFmtId="0" fontId="29" fillId="6" borderId="45" xfId="0" applyFont="1" applyFill="1" applyBorder="1">
      <alignment vertical="center"/>
    </xf>
    <xf numFmtId="0" fontId="29" fillId="6" borderId="19" xfId="0" applyFont="1" applyFill="1" applyBorder="1">
      <alignment vertical="center"/>
    </xf>
    <xf numFmtId="0" fontId="29" fillId="6" borderId="22" xfId="0" quotePrefix="1" applyFont="1" applyFill="1" applyBorder="1">
      <alignment vertical="center"/>
    </xf>
    <xf numFmtId="0" fontId="29" fillId="6" borderId="41" xfId="0" quotePrefix="1" applyFont="1" applyFill="1" applyBorder="1">
      <alignment vertical="center"/>
    </xf>
    <xf numFmtId="0" fontId="29" fillId="6" borderId="23" xfId="0" quotePrefix="1" applyFont="1" applyFill="1" applyBorder="1">
      <alignment vertical="center"/>
    </xf>
    <xf numFmtId="14" fontId="29" fillId="6" borderId="20" xfId="0" quotePrefix="1" applyNumberFormat="1" applyFont="1" applyFill="1" applyBorder="1">
      <alignment vertical="center"/>
    </xf>
    <xf numFmtId="14" fontId="29" fillId="6" borderId="0" xfId="0" quotePrefix="1" applyNumberFormat="1" applyFont="1" applyFill="1">
      <alignment vertical="center"/>
    </xf>
    <xf numFmtId="14" fontId="29" fillId="6" borderId="21" xfId="0" quotePrefix="1" applyNumberFormat="1" applyFont="1" applyFill="1" applyBorder="1">
      <alignment vertical="center"/>
    </xf>
    <xf numFmtId="44" fontId="5" fillId="0" borderId="0" xfId="11" applyNumberFormat="1" applyFont="1" applyAlignment="1">
      <alignment vertical="center"/>
    </xf>
    <xf numFmtId="0" fontId="5" fillId="0" borderId="0" xfId="11" applyFont="1" applyAlignment="1">
      <alignment vertical="center"/>
    </xf>
    <xf numFmtId="179" fontId="21" fillId="0" borderId="0" xfId="0" applyNumberFormat="1" applyFont="1">
      <alignment vertical="center"/>
    </xf>
    <xf numFmtId="179" fontId="21" fillId="8" borderId="4" xfId="0" applyNumberFormat="1" applyFont="1" applyFill="1" applyBorder="1" applyAlignment="1">
      <alignment horizontal="center" vertical="center"/>
    </xf>
    <xf numFmtId="179" fontId="21" fillId="8" borderId="4" xfId="0" quotePrefix="1" applyNumberFormat="1" applyFont="1" applyFill="1" applyBorder="1" applyAlignment="1">
      <alignment horizontal="center" vertical="center"/>
    </xf>
    <xf numFmtId="179" fontId="32" fillId="0" borderId="0" xfId="0" quotePrefix="1" applyNumberFormat="1" applyFont="1" applyAlignment="1">
      <alignment horizontal="center" vertical="center"/>
    </xf>
    <xf numFmtId="179" fontId="21" fillId="0" borderId="4" xfId="0" applyNumberFormat="1" applyFont="1" applyBorder="1">
      <alignment vertical="center"/>
    </xf>
    <xf numFmtId="180" fontId="21" fillId="0" borderId="4" xfId="0" applyNumberFormat="1" applyFont="1" applyBorder="1">
      <alignment vertical="center"/>
    </xf>
    <xf numFmtId="2" fontId="21" fillId="0" borderId="4" xfId="11" applyNumberFormat="1" applyFont="1" applyBorder="1" applyAlignment="1">
      <alignment vertical="center"/>
    </xf>
    <xf numFmtId="180" fontId="32" fillId="0" borderId="0" xfId="0" applyNumberFormat="1" applyFont="1">
      <alignment vertical="center"/>
    </xf>
    <xf numFmtId="179" fontId="5" fillId="0" borderId="0" xfId="11" applyNumberFormat="1" applyFont="1" applyAlignment="1">
      <alignment vertical="center"/>
    </xf>
    <xf numFmtId="10" fontId="21" fillId="0" borderId="4" xfId="2" applyNumberFormat="1" applyFont="1" applyBorder="1" applyAlignment="1">
      <alignment vertical="center"/>
    </xf>
    <xf numFmtId="10" fontId="21" fillId="0" borderId="4" xfId="23" applyNumberFormat="1" applyFont="1" applyBorder="1" applyAlignment="1">
      <alignment vertical="center"/>
    </xf>
    <xf numFmtId="10" fontId="5" fillId="0" borderId="0" xfId="2" applyNumberFormat="1" applyFont="1" applyFill="1" applyBorder="1" applyAlignment="1">
      <alignment vertical="center"/>
    </xf>
    <xf numFmtId="10" fontId="5" fillId="0" borderId="0" xfId="23" applyNumberFormat="1" applyFont="1" applyFill="1" applyBorder="1" applyAlignment="1">
      <alignment vertical="center"/>
    </xf>
    <xf numFmtId="180" fontId="5" fillId="0" borderId="0" xfId="0" applyNumberFormat="1" applyFont="1">
      <alignment vertical="center"/>
    </xf>
    <xf numFmtId="14" fontId="21" fillId="8" borderId="4" xfId="0" quotePrefix="1" applyNumberFormat="1" applyFont="1" applyFill="1" applyBorder="1" applyAlignment="1">
      <alignment horizontal="center" vertical="center"/>
    </xf>
    <xf numFmtId="10" fontId="32" fillId="0" borderId="0" xfId="23" applyNumberFormat="1" applyFont="1" applyFill="1" applyBorder="1" applyAlignment="1">
      <alignment vertical="center"/>
    </xf>
    <xf numFmtId="10" fontId="32" fillId="0" borderId="0" xfId="2" applyNumberFormat="1" applyFont="1" applyFill="1" applyBorder="1" applyAlignment="1">
      <alignment vertical="center"/>
    </xf>
    <xf numFmtId="3" fontId="21" fillId="0" borderId="0" xfId="11" applyNumberFormat="1" applyFont="1" applyAlignment="1">
      <alignment vertical="center"/>
    </xf>
    <xf numFmtId="0" fontId="6" fillId="0" borderId="0" xfId="0" applyFont="1" applyAlignment="1">
      <alignment horizontal="right" vertical="top" wrapText="1"/>
    </xf>
    <xf numFmtId="3" fontId="6" fillId="0" borderId="0" xfId="0" applyNumberFormat="1" applyFont="1" applyAlignment="1">
      <alignment horizontal="right" vertical="top" wrapText="1"/>
    </xf>
    <xf numFmtId="179" fontId="21" fillId="0" borderId="0" xfId="0" applyNumberFormat="1" applyFont="1" applyAlignment="1">
      <alignment horizontal="center" vertical="center"/>
    </xf>
    <xf numFmtId="10" fontId="21" fillId="0" borderId="0" xfId="2" applyNumberFormat="1" applyFont="1" applyFill="1" applyBorder="1" applyAlignment="1">
      <alignment vertical="center"/>
    </xf>
    <xf numFmtId="179" fontId="25" fillId="0" borderId="0" xfId="0" applyNumberFormat="1" applyFont="1">
      <alignment vertical="center"/>
    </xf>
    <xf numFmtId="10" fontId="21" fillId="0" borderId="0" xfId="23" applyNumberFormat="1" applyFont="1" applyAlignment="1">
      <alignment vertical="center"/>
    </xf>
    <xf numFmtId="10" fontId="21" fillId="0" borderId="0" xfId="23" applyNumberFormat="1" applyFont="1" applyFill="1" applyBorder="1" applyAlignment="1">
      <alignment vertical="center"/>
    </xf>
    <xf numFmtId="9" fontId="21" fillId="0" borderId="0" xfId="23" applyFont="1" applyAlignment="1">
      <alignment vertical="center"/>
    </xf>
    <xf numFmtId="9" fontId="21" fillId="0" borderId="0" xfId="23" applyFont="1" applyFill="1" applyAlignment="1">
      <alignment vertical="center"/>
    </xf>
    <xf numFmtId="179" fontId="31" fillId="0" borderId="0" xfId="0" applyNumberFormat="1" applyFont="1">
      <alignment vertical="center"/>
    </xf>
    <xf numFmtId="179" fontId="31" fillId="8" borderId="4" xfId="0" applyNumberFormat="1" applyFont="1" applyFill="1" applyBorder="1" applyAlignment="1">
      <alignment horizontal="center" vertical="center"/>
    </xf>
    <xf numFmtId="179" fontId="31" fillId="8" borderId="4" xfId="0" quotePrefix="1" applyNumberFormat="1" applyFont="1" applyFill="1" applyBorder="1" applyAlignment="1">
      <alignment horizontal="center" vertical="center"/>
    </xf>
    <xf numFmtId="179" fontId="31" fillId="0" borderId="0" xfId="0" applyNumberFormat="1" applyFont="1" applyAlignment="1">
      <alignment horizontal="center" vertical="center"/>
    </xf>
    <xf numFmtId="179" fontId="31" fillId="0" borderId="0" xfId="0" quotePrefix="1" applyNumberFormat="1" applyFont="1" applyAlignment="1">
      <alignment horizontal="center" vertical="center"/>
    </xf>
    <xf numFmtId="179" fontId="31" fillId="0" borderId="4" xfId="0" applyNumberFormat="1" applyFont="1" applyBorder="1">
      <alignment vertical="center"/>
    </xf>
    <xf numFmtId="10" fontId="31" fillId="0" borderId="4" xfId="2" applyNumberFormat="1" applyFont="1" applyFill="1" applyBorder="1" applyAlignment="1" applyProtection="1">
      <alignment vertical="center"/>
    </xf>
    <xf numFmtId="10" fontId="31" fillId="0" borderId="0" xfId="2" applyNumberFormat="1" applyFont="1" applyFill="1" applyBorder="1" applyAlignment="1" applyProtection="1">
      <alignment vertical="center"/>
    </xf>
    <xf numFmtId="180" fontId="31" fillId="0" borderId="4" xfId="0" applyNumberFormat="1" applyFont="1" applyBorder="1">
      <alignment vertical="center"/>
    </xf>
    <xf numFmtId="180" fontId="31" fillId="0" borderId="0" xfId="0" applyNumberFormat="1" applyFont="1">
      <alignment vertical="center"/>
    </xf>
    <xf numFmtId="179" fontId="31" fillId="0" borderId="0" xfId="0" applyNumberFormat="1" applyFont="1" applyAlignment="1">
      <alignment horizontal="left" vertical="center"/>
    </xf>
    <xf numFmtId="179" fontId="20" fillId="0" borderId="0" xfId="0" quotePrefix="1" applyNumberFormat="1" applyFont="1">
      <alignment vertical="center"/>
    </xf>
    <xf numFmtId="179" fontId="31" fillId="0" borderId="0" xfId="0" quotePrefix="1" applyNumberFormat="1" applyFont="1">
      <alignment vertical="center"/>
    </xf>
    <xf numFmtId="179" fontId="31" fillId="0" borderId="4" xfId="0" quotePrefix="1" applyNumberFormat="1" applyFont="1" applyBorder="1">
      <alignment vertical="center"/>
    </xf>
    <xf numFmtId="179" fontId="5" fillId="0" borderId="4" xfId="0" applyNumberFormat="1" applyFont="1" applyBorder="1" applyAlignment="1">
      <alignment vertical="center" shrinkToFit="1"/>
    </xf>
    <xf numFmtId="179" fontId="6" fillId="0" borderId="0" xfId="0" quotePrefix="1" applyNumberFormat="1" applyFont="1">
      <alignment vertical="center"/>
    </xf>
    <xf numFmtId="179" fontId="5" fillId="0" borderId="0" xfId="0" quotePrefix="1" applyNumberFormat="1" applyFont="1" applyAlignment="1">
      <alignment horizontal="center" vertical="center"/>
    </xf>
    <xf numFmtId="180" fontId="5" fillId="0" borderId="4" xfId="0" applyNumberFormat="1" applyFont="1" applyBorder="1">
      <alignment vertical="center"/>
    </xf>
    <xf numFmtId="179" fontId="20" fillId="0" borderId="0" xfId="0" applyNumberFormat="1" applyFont="1">
      <alignment vertical="center"/>
    </xf>
    <xf numFmtId="179" fontId="31" fillId="0" borderId="4" xfId="0" applyNumberFormat="1" applyFont="1" applyBorder="1" applyAlignment="1">
      <alignment vertical="center" shrinkToFit="1"/>
    </xf>
    <xf numFmtId="179" fontId="5" fillId="0" borderId="0" xfId="11" quotePrefix="1" applyNumberFormat="1" applyFont="1" applyAlignment="1">
      <alignment vertical="top" wrapText="1"/>
    </xf>
    <xf numFmtId="179" fontId="25" fillId="0" borderId="0" xfId="11" applyNumberFormat="1" applyFont="1" applyAlignment="1">
      <alignment horizontal="left" vertical="center"/>
    </xf>
    <xf numFmtId="179" fontId="5" fillId="0" borderId="0" xfId="0" applyNumberFormat="1" applyFont="1" applyAlignment="1">
      <alignment horizontal="left" vertical="center" wrapText="1"/>
    </xf>
    <xf numFmtId="180" fontId="21" fillId="0" borderId="0" xfId="0" applyNumberFormat="1" applyFont="1">
      <alignment vertical="center"/>
    </xf>
    <xf numFmtId="182" fontId="5" fillId="0" borderId="0" xfId="0" applyNumberFormat="1" applyFont="1">
      <alignment vertical="center"/>
    </xf>
    <xf numFmtId="10" fontId="21" fillId="0" borderId="4" xfId="2" applyNumberFormat="1" applyFont="1" applyBorder="1" applyAlignment="1">
      <alignment horizontal="center" vertical="center"/>
    </xf>
    <xf numFmtId="179" fontId="21" fillId="0" borderId="37" xfId="44" applyNumberFormat="1" applyFont="1" applyBorder="1">
      <alignment vertical="center"/>
    </xf>
    <xf numFmtId="179" fontId="21" fillId="0" borderId="39" xfId="44" applyNumberFormat="1" applyFont="1" applyBorder="1">
      <alignment vertical="center"/>
    </xf>
    <xf numFmtId="179" fontId="21" fillId="0" borderId="3" xfId="45" applyNumberFormat="1" applyFont="1" applyFill="1" applyBorder="1" applyAlignment="1">
      <alignment vertical="center"/>
    </xf>
    <xf numFmtId="179" fontId="21" fillId="0" borderId="37" xfId="45" applyNumberFormat="1" applyFont="1" applyFill="1" applyBorder="1" applyAlignment="1">
      <alignment vertical="center"/>
    </xf>
    <xf numFmtId="179" fontId="21" fillId="0" borderId="3" xfId="44" applyNumberFormat="1" applyFont="1" applyBorder="1" applyAlignment="1">
      <alignment horizontal="center" vertical="center"/>
    </xf>
    <xf numFmtId="10" fontId="49" fillId="0" borderId="28" xfId="2" applyNumberFormat="1" applyFont="1" applyFill="1" applyBorder="1" applyAlignment="1">
      <alignment vertical="center"/>
    </xf>
    <xf numFmtId="177" fontId="49" fillId="0" borderId="28" xfId="11" applyNumberFormat="1" applyFont="1" applyBorder="1" applyAlignment="1">
      <alignment horizontal="center" vertical="center"/>
    </xf>
    <xf numFmtId="177" fontId="49" fillId="0" borderId="10" xfId="11" applyNumberFormat="1" applyFont="1" applyBorder="1" applyAlignment="1">
      <alignment horizontal="center" vertical="center"/>
    </xf>
    <xf numFmtId="10" fontId="21" fillId="0" borderId="4" xfId="23" applyNumberFormat="1" applyFont="1" applyFill="1" applyBorder="1" applyAlignment="1">
      <alignment horizontal="center" vertical="center"/>
    </xf>
    <xf numFmtId="10" fontId="49" fillId="0" borderId="28" xfId="2" applyNumberFormat="1" applyFont="1" applyFill="1" applyBorder="1" applyAlignment="1">
      <alignment horizontal="center" vertical="center"/>
    </xf>
    <xf numFmtId="179" fontId="17" fillId="0" borderId="0" xfId="11" quotePrefix="1" applyNumberFormat="1" applyFont="1" applyAlignment="1">
      <alignment horizontal="left" vertical="center" wrapText="1"/>
    </xf>
    <xf numFmtId="179" fontId="36" fillId="0" borderId="0" xfId="11" applyNumberFormat="1" applyFont="1" applyAlignment="1">
      <alignment horizontal="left" vertical="center"/>
    </xf>
    <xf numFmtId="179" fontId="17" fillId="0" borderId="0" xfId="11" applyNumberFormat="1" applyFont="1" applyAlignment="1">
      <alignment vertical="center" wrapText="1"/>
    </xf>
    <xf numFmtId="179" fontId="25" fillId="0" borderId="0" xfId="10" applyNumberFormat="1" applyFont="1">
      <alignment vertical="center"/>
    </xf>
    <xf numFmtId="182" fontId="21" fillId="0" borderId="4" xfId="0" applyNumberFormat="1" applyFont="1" applyBorder="1">
      <alignment vertical="center"/>
    </xf>
    <xf numFmtId="179" fontId="6" fillId="7" borderId="4" xfId="0" applyNumberFormat="1" applyFont="1" applyFill="1" applyBorder="1" applyAlignment="1">
      <alignment horizontal="center" vertical="center" wrapText="1"/>
    </xf>
    <xf numFmtId="179" fontId="46" fillId="0" borderId="38" xfId="44" applyNumberFormat="1" applyFont="1" applyBorder="1" applyAlignment="1">
      <alignment horizontal="left" vertical="center"/>
    </xf>
    <xf numFmtId="179" fontId="21" fillId="0" borderId="46" xfId="45" applyNumberFormat="1" applyFont="1" applyFill="1" applyBorder="1" applyAlignment="1">
      <alignment vertical="center"/>
    </xf>
    <xf numFmtId="179" fontId="46" fillId="0" borderId="36" xfId="44" applyNumberFormat="1" applyFont="1" applyBorder="1" applyAlignment="1">
      <alignment horizontal="left" vertical="center"/>
    </xf>
    <xf numFmtId="179" fontId="33" fillId="3" borderId="8" xfId="11" applyNumberFormat="1" applyFont="1" applyFill="1" applyBorder="1" applyAlignment="1">
      <alignment horizontal="center" vertical="center" wrapText="1"/>
    </xf>
    <xf numFmtId="179" fontId="25" fillId="0" borderId="4" xfId="11" applyNumberFormat="1" applyFont="1" applyBorder="1" applyAlignment="1">
      <alignment horizontal="left" vertical="center"/>
    </xf>
    <xf numFmtId="10" fontId="25" fillId="0" borderId="0" xfId="11" quotePrefix="1" applyNumberFormat="1" applyFont="1" applyAlignment="1">
      <alignment horizontal="left" vertical="center" wrapText="1"/>
    </xf>
    <xf numFmtId="179" fontId="33" fillId="11" borderId="11" xfId="0" applyNumberFormat="1" applyFont="1" applyFill="1" applyBorder="1">
      <alignment vertical="center"/>
    </xf>
    <xf numFmtId="179" fontId="33" fillId="11" borderId="10" xfId="0" applyNumberFormat="1" applyFont="1" applyFill="1" applyBorder="1">
      <alignment vertical="center"/>
    </xf>
    <xf numFmtId="177" fontId="33" fillId="11" borderId="7" xfId="11" applyNumberFormat="1" applyFont="1" applyFill="1" applyBorder="1" applyAlignment="1">
      <alignment horizontal="center" vertical="center"/>
    </xf>
    <xf numFmtId="9" fontId="33" fillId="11" borderId="7" xfId="2" applyFont="1" applyFill="1" applyBorder="1" applyAlignment="1">
      <alignment horizontal="center" vertical="center"/>
    </xf>
    <xf numFmtId="179" fontId="33" fillId="11" borderId="7" xfId="11" applyNumberFormat="1" applyFont="1" applyFill="1" applyBorder="1" applyAlignment="1">
      <alignment horizontal="center" vertical="center"/>
    </xf>
    <xf numFmtId="182" fontId="25" fillId="12" borderId="4" xfId="0" applyNumberFormat="1" applyFont="1" applyFill="1" applyBorder="1">
      <alignment vertical="center"/>
    </xf>
    <xf numFmtId="10" fontId="25" fillId="12" borderId="4" xfId="23" applyNumberFormat="1" applyFont="1" applyFill="1" applyBorder="1" applyAlignment="1">
      <alignment vertical="center"/>
    </xf>
    <xf numFmtId="182" fontId="17" fillId="13" borderId="4" xfId="0" applyNumberFormat="1" applyFont="1" applyFill="1" applyBorder="1">
      <alignment vertical="center"/>
    </xf>
    <xf numFmtId="10" fontId="25" fillId="13" borderId="4" xfId="23" applyNumberFormat="1" applyFont="1" applyFill="1" applyBorder="1" applyAlignment="1">
      <alignment vertical="center"/>
    </xf>
    <xf numFmtId="179" fontId="17" fillId="0" borderId="4" xfId="11" quotePrefix="1" applyNumberFormat="1" applyFont="1" applyBorder="1" applyAlignment="1">
      <alignment horizontal="left" vertical="center" wrapText="1"/>
    </xf>
    <xf numFmtId="179" fontId="5" fillId="0" borderId="4" xfId="11" applyNumberFormat="1" applyFont="1" applyBorder="1" applyAlignment="1">
      <alignment horizontal="left" vertical="center" wrapText="1"/>
    </xf>
    <xf numFmtId="179" fontId="25" fillId="0" borderId="4" xfId="11" quotePrefix="1" applyNumberFormat="1" applyFont="1" applyBorder="1" applyAlignment="1">
      <alignment horizontal="left" vertical="center" wrapText="1"/>
    </xf>
    <xf numFmtId="3" fontId="31" fillId="0" borderId="0" xfId="10" applyNumberFormat="1" applyFont="1" applyAlignment="1">
      <alignment horizontal="left" vertical="center"/>
    </xf>
    <xf numFmtId="179" fontId="47" fillId="0" borderId="0" xfId="10" applyNumberFormat="1" applyFont="1">
      <alignment vertical="center"/>
    </xf>
    <xf numFmtId="0" fontId="5" fillId="14" borderId="0" xfId="0" applyFont="1" applyFill="1">
      <alignment vertical="center"/>
    </xf>
    <xf numFmtId="0" fontId="5" fillId="14" borderId="0" xfId="0" applyFont="1" applyFill="1" applyAlignment="1">
      <alignment horizontal="left" vertical="center"/>
    </xf>
    <xf numFmtId="14" fontId="5" fillId="14" borderId="0" xfId="0" applyNumberFormat="1" applyFont="1" applyFill="1" applyAlignment="1">
      <alignment horizontal="left" vertical="center"/>
    </xf>
    <xf numFmtId="14" fontId="5" fillId="14" borderId="1" xfId="0" applyNumberFormat="1" applyFont="1" applyFill="1" applyBorder="1" applyAlignment="1">
      <alignment horizontal="left" vertical="center" wrapText="1"/>
    </xf>
    <xf numFmtId="182" fontId="6" fillId="14" borderId="4" xfId="0" applyNumberFormat="1" applyFont="1" applyFill="1" applyBorder="1">
      <alignment vertical="center"/>
    </xf>
    <xf numFmtId="10" fontId="28" fillId="14" borderId="28" xfId="2" applyNumberFormat="1" applyFont="1" applyFill="1" applyBorder="1" applyAlignment="1">
      <alignment horizontal="center" vertical="center"/>
    </xf>
    <xf numFmtId="182" fontId="5" fillId="14" borderId="4" xfId="0" applyNumberFormat="1" applyFont="1" applyFill="1" applyBorder="1">
      <alignment vertical="center"/>
    </xf>
    <xf numFmtId="10" fontId="21" fillId="14" borderId="4" xfId="23" applyNumberFormat="1" applyFont="1" applyFill="1" applyBorder="1" applyAlignment="1">
      <alignment horizontal="center" vertical="center"/>
    </xf>
    <xf numFmtId="182" fontId="21" fillId="14" borderId="4" xfId="0" applyNumberFormat="1" applyFont="1" applyFill="1" applyBorder="1">
      <alignment vertical="center"/>
    </xf>
    <xf numFmtId="177" fontId="33" fillId="14" borderId="12" xfId="11" applyNumberFormat="1" applyFont="1" applyFill="1" applyBorder="1" applyAlignment="1">
      <alignment horizontal="center" vertical="center"/>
    </xf>
    <xf numFmtId="179" fontId="33" fillId="14" borderId="7" xfId="11" applyNumberFormat="1" applyFont="1" applyFill="1" applyBorder="1" applyAlignment="1">
      <alignment vertical="center"/>
    </xf>
    <xf numFmtId="177" fontId="33" fillId="14" borderId="7" xfId="11" applyNumberFormat="1" applyFont="1" applyFill="1" applyBorder="1" applyAlignment="1">
      <alignment horizontal="center" vertical="center"/>
    </xf>
    <xf numFmtId="9" fontId="33" fillId="14" borderId="7" xfId="2" applyFont="1" applyFill="1" applyBorder="1" applyAlignment="1">
      <alignment horizontal="center" vertical="center"/>
    </xf>
    <xf numFmtId="179" fontId="21" fillId="14" borderId="4" xfId="11" applyNumberFormat="1" applyFont="1" applyFill="1" applyBorder="1" applyAlignment="1">
      <alignment vertical="center"/>
    </xf>
    <xf numFmtId="10" fontId="28" fillId="14" borderId="28" xfId="2" applyNumberFormat="1" applyFont="1" applyFill="1" applyBorder="1" applyAlignment="1">
      <alignment vertical="center"/>
    </xf>
    <xf numFmtId="179" fontId="17" fillId="14" borderId="4" xfId="0" applyNumberFormat="1" applyFont="1" applyFill="1" applyBorder="1">
      <alignment vertical="center"/>
    </xf>
    <xf numFmtId="179" fontId="5" fillId="14" borderId="4" xfId="0" applyNumberFormat="1" applyFont="1" applyFill="1" applyBorder="1">
      <alignment vertical="center"/>
    </xf>
    <xf numFmtId="179" fontId="33" fillId="14" borderId="0" xfId="11" applyNumberFormat="1" applyFont="1" applyFill="1" applyAlignment="1">
      <alignment vertical="center"/>
    </xf>
    <xf numFmtId="14" fontId="33" fillId="14" borderId="9" xfId="11" applyNumberFormat="1" applyFont="1" applyFill="1" applyBorder="1" applyAlignment="1">
      <alignment horizontal="center" vertical="center"/>
    </xf>
    <xf numFmtId="179" fontId="33" fillId="14" borderId="0" xfId="2" applyNumberFormat="1" applyFont="1" applyFill="1" applyBorder="1" applyAlignment="1">
      <alignment horizontal="center" vertical="center"/>
    </xf>
    <xf numFmtId="10" fontId="28" fillId="14" borderId="4" xfId="2" applyNumberFormat="1" applyFont="1" applyFill="1" applyBorder="1" applyAlignment="1">
      <alignment vertical="center"/>
    </xf>
    <xf numFmtId="10" fontId="25" fillId="14" borderId="4" xfId="23" applyNumberFormat="1" applyFont="1" applyFill="1" applyBorder="1" applyAlignment="1">
      <alignment vertical="center"/>
    </xf>
    <xf numFmtId="188" fontId="6" fillId="14" borderId="4" xfId="0" applyNumberFormat="1" applyFont="1" applyFill="1" applyBorder="1" applyAlignment="1">
      <alignment horizontal="right" vertical="center" wrapText="1"/>
    </xf>
    <xf numFmtId="179" fontId="31" fillId="14" borderId="4" xfId="0" applyNumberFormat="1" applyFont="1" applyFill="1" applyBorder="1">
      <alignment vertical="center"/>
    </xf>
    <xf numFmtId="0" fontId="29" fillId="14" borderId="18" xfId="0" applyFont="1" applyFill="1" applyBorder="1">
      <alignment vertical="center"/>
    </xf>
    <xf numFmtId="186" fontId="30" fillId="14" borderId="24" xfId="0" applyNumberFormat="1" applyFont="1" applyFill="1" applyBorder="1" applyAlignment="1">
      <alignment horizontal="center" vertical="center"/>
    </xf>
    <xf numFmtId="186" fontId="30" fillId="14" borderId="24" xfId="0" quotePrefix="1" applyNumberFormat="1" applyFont="1" applyFill="1" applyBorder="1" applyAlignment="1">
      <alignment horizontal="center" vertical="center"/>
    </xf>
    <xf numFmtId="14" fontId="29" fillId="14" borderId="20" xfId="0" quotePrefix="1" applyNumberFormat="1" applyFont="1" applyFill="1" applyBorder="1" applyAlignment="1">
      <alignment horizontal="left" vertical="center"/>
    </xf>
    <xf numFmtId="179" fontId="21" fillId="14" borderId="0" xfId="10" applyNumberFormat="1" applyFont="1" applyFill="1">
      <alignment vertical="center"/>
    </xf>
    <xf numFmtId="0" fontId="52" fillId="0" borderId="0" xfId="0" applyFont="1">
      <alignment vertical="center"/>
    </xf>
    <xf numFmtId="179" fontId="8" fillId="8" borderId="4" xfId="0" applyNumberFormat="1" applyFont="1" applyFill="1" applyBorder="1" applyAlignment="1">
      <alignment horizontal="center" vertical="center" wrapText="1"/>
    </xf>
    <xf numFmtId="179" fontId="0" fillId="7" borderId="0" xfId="0" applyNumberFormat="1" applyFill="1" applyAlignment="1">
      <alignment horizontal="left" vertical="center"/>
    </xf>
    <xf numFmtId="179" fontId="35" fillId="9" borderId="3" xfId="44" applyNumberFormat="1" applyFont="1" applyFill="1" applyBorder="1" applyAlignment="1">
      <alignment horizontal="center" vertical="center" wrapText="1"/>
    </xf>
    <xf numFmtId="179" fontId="35" fillId="9" borderId="43" xfId="44" applyNumberFormat="1" applyFont="1" applyFill="1" applyBorder="1" applyAlignment="1">
      <alignment horizontal="center" vertical="center"/>
    </xf>
    <xf numFmtId="179" fontId="21" fillId="10" borderId="4" xfId="44" applyNumberFormat="1" applyFont="1" applyFill="1" applyBorder="1" applyAlignment="1">
      <alignment horizontal="center" vertical="center"/>
    </xf>
    <xf numFmtId="179" fontId="35" fillId="9" borderId="38" xfId="44" applyNumberFormat="1" applyFont="1" applyFill="1" applyBorder="1" applyAlignment="1">
      <alignment horizontal="center" vertical="center"/>
    </xf>
    <xf numFmtId="179" fontId="35" fillId="9" borderId="37" xfId="44" applyNumberFormat="1" applyFont="1" applyFill="1" applyBorder="1" applyAlignment="1">
      <alignment horizontal="center" vertical="center"/>
    </xf>
    <xf numFmtId="179" fontId="35" fillId="9" borderId="39" xfId="44" applyNumberFormat="1" applyFont="1" applyFill="1" applyBorder="1" applyAlignment="1">
      <alignment horizontal="center" vertical="center"/>
    </xf>
    <xf numFmtId="179" fontId="35" fillId="9" borderId="40" xfId="44" applyNumberFormat="1" applyFont="1" applyFill="1" applyBorder="1" applyAlignment="1">
      <alignment horizontal="center" vertical="center"/>
    </xf>
    <xf numFmtId="179" fontId="35" fillId="9" borderId="41" xfId="44" applyNumberFormat="1" applyFont="1" applyFill="1" applyBorder="1" applyAlignment="1">
      <alignment horizontal="center" vertical="center"/>
    </xf>
    <xf numFmtId="179" fontId="35" fillId="9" borderId="42" xfId="44" applyNumberFormat="1" applyFont="1" applyFill="1" applyBorder="1" applyAlignment="1">
      <alignment horizontal="center" vertical="center"/>
    </xf>
    <xf numFmtId="179" fontId="35" fillId="9" borderId="4" xfId="44" applyNumberFormat="1" applyFont="1" applyFill="1" applyBorder="1" applyAlignment="1">
      <alignment horizontal="center" vertical="center"/>
    </xf>
    <xf numFmtId="179" fontId="35" fillId="9" borderId="3" xfId="44" applyNumberFormat="1" applyFont="1" applyFill="1" applyBorder="1" applyAlignment="1">
      <alignment horizontal="center" vertical="center" shrinkToFit="1"/>
    </xf>
    <xf numFmtId="179" fontId="35" fillId="9" borderId="43" xfId="44" applyNumberFormat="1" applyFont="1" applyFill="1" applyBorder="1" applyAlignment="1">
      <alignment horizontal="center" vertical="center" shrinkToFit="1"/>
    </xf>
    <xf numFmtId="179" fontId="48" fillId="0" borderId="0" xfId="10" applyNumberFormat="1" applyFont="1" applyAlignment="1">
      <alignment horizontal="center" vertical="center"/>
    </xf>
    <xf numFmtId="179" fontId="21" fillId="0" borderId="0" xfId="0" quotePrefix="1" applyNumberFormat="1" applyFont="1" applyAlignment="1">
      <alignment horizontal="center" vertical="center"/>
    </xf>
    <xf numFmtId="177" fontId="34" fillId="3" borderId="25" xfId="11" applyNumberFormat="1" applyFont="1" applyFill="1" applyBorder="1" applyAlignment="1">
      <alignment horizontal="center" vertical="center"/>
    </xf>
    <xf numFmtId="177" fontId="34" fillId="3" borderId="0" xfId="11" applyNumberFormat="1" applyFont="1" applyFill="1" applyAlignment="1">
      <alignment horizontal="center" vertical="center"/>
    </xf>
    <xf numFmtId="177" fontId="34" fillId="3" borderId="26" xfId="11" applyNumberFormat="1" applyFont="1" applyFill="1" applyBorder="1" applyAlignment="1">
      <alignment horizontal="center" vertical="center"/>
    </xf>
    <xf numFmtId="177" fontId="33" fillId="3" borderId="11" xfId="11" applyNumberFormat="1" applyFont="1" applyFill="1" applyBorder="1" applyAlignment="1">
      <alignment horizontal="center" vertical="center"/>
    </xf>
    <xf numFmtId="177" fontId="33" fillId="3" borderId="28" xfId="11" applyNumberFormat="1" applyFont="1" applyFill="1" applyBorder="1" applyAlignment="1">
      <alignment horizontal="center" vertical="center"/>
    </xf>
    <xf numFmtId="179" fontId="5" fillId="7" borderId="4" xfId="0" applyNumberFormat="1" applyFont="1" applyFill="1" applyBorder="1" applyAlignment="1">
      <alignment horizontal="left" vertical="center" wrapText="1" indent="2"/>
    </xf>
    <xf numFmtId="179" fontId="6" fillId="7" borderId="4" xfId="0" applyNumberFormat="1" applyFont="1" applyFill="1" applyBorder="1" applyAlignment="1">
      <alignment horizontal="left" vertical="center" wrapText="1" indent="2"/>
    </xf>
  </cellXfs>
  <cellStyles count="63">
    <cellStyle name="_x000d__x000a_JournalTemplate=C:\COMFO\CTALK\JOURSTD.TPL_x000d__x000a_LbStateAddress=3 3 0 251 1 89 2 311_x000d__x000a_LbStateJou" xfId="31" xr:uid="{F2100BF2-7EAA-46CE-95A5-1A267C2AE518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30" xr:uid="{8E636B44-F7D7-4AA7-B5C3-D4971651FFF6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 2" xfId="38" xr:uid="{1EE1C1F7-50BB-45BA-8DBC-F5FB9F3F1AA1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29" xr:uid="{080F6AA7-90DA-4BAA-9EA2-54B687F697D8}"/>
    <cellStyle name="0,0_x000d__x000a_NA_x000d__x000a_" xfId="26" xr:uid="{DC7A3F71-D4F9-40E6-830B-DBB05B8C3BD1}"/>
    <cellStyle name="Comma [0]_(주)볼빅 2002 F S" xfId="32" xr:uid="{112182F7-9B07-4AB7-852B-D7B1434CC43D}"/>
    <cellStyle name="Normal 2" xfId="37" xr:uid="{B9715693-FC02-4800-939D-FEA177C730FB}"/>
    <cellStyle name="Standard 3" xfId="34" xr:uid="{086CBE85-D1AD-4C2B-AF86-E88A14043863}"/>
    <cellStyle name="백분율" xfId="23" builtinId="5"/>
    <cellStyle name="백분율 10" xfId="52" xr:uid="{02D0639B-D9E0-4F93-BD45-285227ED7D32}"/>
    <cellStyle name="백분율 13" xfId="50" xr:uid="{65D26866-A36C-4371-826F-F0346F6A64FF}"/>
    <cellStyle name="백분율 2" xfId="2" xr:uid="{00000000-0005-0000-0000-000001000000}"/>
    <cellStyle name="백분율 3" xfId="3" xr:uid="{00000000-0005-0000-0000-000002000000}"/>
    <cellStyle name="백분율 4" xfId="49" xr:uid="{A66959EC-3FB3-4A93-AAF9-33839A8511B4}"/>
    <cellStyle name="백분율 5" xfId="57" xr:uid="{B66091A9-566E-4DA2-9EB3-FC1C50527672}"/>
    <cellStyle name="쉼표 [0] 10 2" xfId="27" xr:uid="{13C64092-ECA0-4C49-8D43-163233CBE513}"/>
    <cellStyle name="쉼표 [0] 10 3" xfId="24" xr:uid="{00000000-0005-0000-0000-000004000000}"/>
    <cellStyle name="쉼표 [0] 2" xfId="4" xr:uid="{00000000-0005-0000-0000-000005000000}"/>
    <cellStyle name="쉼표 [0] 2 2" xfId="5" xr:uid="{00000000-0005-0000-0000-000006000000}"/>
    <cellStyle name="쉼표 [0] 2 2 2 4" xfId="43" xr:uid="{7D014978-7B8E-4933-930D-823C58602190}"/>
    <cellStyle name="쉼표 [0] 3" xfId="6" xr:uid="{00000000-0005-0000-0000-000007000000}"/>
    <cellStyle name="쉼표 [0] 3 2" xfId="7" xr:uid="{00000000-0005-0000-0000-000008000000}"/>
    <cellStyle name="쉼표 [0] 38" xfId="54" xr:uid="{6A61AE05-66E4-449F-BF98-F0D5D46F6FCE}"/>
    <cellStyle name="쉼표 [0] 4" xfId="48" xr:uid="{8B98C1B6-8A96-47C5-AB73-8881BCF3325E}"/>
    <cellStyle name="쉼표 [0] 5" xfId="59" xr:uid="{31347029-6E38-48B9-82E3-F570C352C05E}"/>
    <cellStyle name="쉼표 [0]_B3_Summary of Review Differences_0603" xfId="46" xr:uid="{000AAD90-72C4-4F90-A7F4-2AA54CB4CD9F}"/>
    <cellStyle name="쉼표 [0]_B4 Summary of Audit Differences_2009" xfId="45" xr:uid="{D2E747E0-8135-4BAE-ABB7-1090C956FB26}"/>
    <cellStyle name="통화" xfId="33" builtinId="4"/>
    <cellStyle name="표준" xfId="0" builtinId="0"/>
    <cellStyle name="표준 10" xfId="47" xr:uid="{AC1AF5E9-29B5-4B63-9FDF-9D499509E41B}"/>
    <cellStyle name="표준 10 2" xfId="42" xr:uid="{4A0F0CDA-9E9F-48F9-9D32-252C66451485}"/>
    <cellStyle name="표준 10 3" xfId="62" xr:uid="{7BA34E6B-73EC-448B-9ABF-DABA0BBA5337}"/>
    <cellStyle name="표준 101 2 2" xfId="41" xr:uid="{BCCA2B99-61CA-4753-8F57-1B5C2F311D35}"/>
    <cellStyle name="표준 11" xfId="56" xr:uid="{6945CF86-4112-44DA-AB3B-4261D437E2CF}"/>
    <cellStyle name="표준 11 2" xfId="39" xr:uid="{9940DFCC-085B-4B59-89D8-B8FEEDCDD298}"/>
    <cellStyle name="표준 12" xfId="60" xr:uid="{91BA029F-B242-490B-882A-5D7AFE3BC971}"/>
    <cellStyle name="표준 2" xfId="8" xr:uid="{00000000-0005-0000-0000-00000C000000}"/>
    <cellStyle name="표준 2 2" xfId="9" xr:uid="{00000000-0005-0000-0000-00000D000000}"/>
    <cellStyle name="표준 2 2 3" xfId="10" xr:uid="{00000000-0005-0000-0000-00000E000000}"/>
    <cellStyle name="표준 2 3" xfId="1" xr:uid="{00000000-0005-0000-0000-00000F000000}"/>
    <cellStyle name="표준 2 6" xfId="25" xr:uid="{00000000-0005-0000-0000-000010000000}"/>
    <cellStyle name="표준 20 4" xfId="28" xr:uid="{BC2E33B0-BAEC-4DE9-A091-654B4D9D9F75}"/>
    <cellStyle name="표준 28" xfId="61" xr:uid="{64B5D35C-AE3D-41FE-88AC-4CD3D3F839D9}"/>
    <cellStyle name="표준 3" xfId="11" xr:uid="{00000000-0005-0000-0000-000011000000}"/>
    <cellStyle name="표준 3 3" xfId="12" xr:uid="{00000000-0005-0000-0000-000012000000}"/>
    <cellStyle name="표준 34" xfId="53" xr:uid="{C2419D76-C9AA-411A-80EA-E4C1C5426FCC}"/>
    <cellStyle name="표준 39" xfId="51" xr:uid="{1CA25AA1-A4A2-49CB-9008-6381B55855F0}"/>
    <cellStyle name="표준 4" xfId="13" xr:uid="{00000000-0005-0000-0000-000013000000}"/>
    <cellStyle name="표준 5" xfId="14" xr:uid="{00000000-0005-0000-0000-000014000000}"/>
    <cellStyle name="표준 6" xfId="15" xr:uid="{00000000-0005-0000-0000-000015000000}"/>
    <cellStyle name="표준 6 2" xfId="16" xr:uid="{00000000-0005-0000-0000-000016000000}"/>
    <cellStyle name="표준 7" xfId="17" xr:uid="{00000000-0005-0000-0000-000017000000}"/>
    <cellStyle name="표준 7 2 9" xfId="55" xr:uid="{0289C7FD-79A8-462D-918F-275C526A852D}"/>
    <cellStyle name="표준 8" xfId="18" xr:uid="{00000000-0005-0000-0000-000018000000}"/>
    <cellStyle name="표준 8 2" xfId="19" xr:uid="{00000000-0005-0000-0000-000019000000}"/>
    <cellStyle name="표준 9" xfId="40" xr:uid="{675610F0-3803-486C-8DA2-03538EB9DE51}"/>
    <cellStyle name="표준_★3800 유형자산(아모레) " xfId="36" xr:uid="{DCCA15AB-0966-43FD-8B00-2EB5DEE28316}"/>
    <cellStyle name="표준_19.DD-장기차입금등" xfId="35" xr:uid="{C48A9CCB-04F1-415F-86C1-77ADF90DB958}"/>
    <cellStyle name="표준_wp template" xfId="44" xr:uid="{FA323026-F542-4041-BD51-7328063B708F}"/>
    <cellStyle name="하이퍼링크 2" xfId="20" xr:uid="{00000000-0005-0000-0000-00001C000000}"/>
    <cellStyle name="하이퍼링크 3" xfId="21" xr:uid="{00000000-0005-0000-0000-00001D000000}"/>
    <cellStyle name="하이퍼링크 4" xfId="22" xr:uid="{00000000-0005-0000-0000-00001E000000}"/>
    <cellStyle name="하이퍼링크 5" xfId="58" xr:uid="{2CE12FC9-B427-430E-AA5C-D223527FD736}"/>
  </cellStyles>
  <dxfs count="763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C0E9F3"/>
        </patternFill>
      </fill>
    </dxf>
    <dxf>
      <fill>
        <patternFill>
          <bgColor rgb="FFC0E9F3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7C80"/>
      <color rgb="FF00A236"/>
      <color rgb="FF66FF99"/>
      <color rgb="FF00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80;&#55141;&#44540;\98&#44208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6603-090D-41CF-9DF4-E81750788EE7}">
  <dimension ref="A1:A16"/>
  <sheetViews>
    <sheetView workbookViewId="0"/>
  </sheetViews>
  <sheetFormatPr defaultRowHeight="16.5"/>
  <cols>
    <col min="1" max="1" width="140.625" customWidth="1"/>
  </cols>
  <sheetData>
    <row r="1" spans="1:1">
      <c r="A1" t="s">
        <v>356</v>
      </c>
    </row>
    <row r="2" spans="1:1">
      <c r="A2" t="s">
        <v>176</v>
      </c>
    </row>
    <row r="3" spans="1:1">
      <c r="A3" t="s">
        <v>357</v>
      </c>
    </row>
    <row r="4" spans="1:1">
      <c r="A4" t="s">
        <v>358</v>
      </c>
    </row>
    <row r="5" spans="1:1">
      <c r="A5" t="s">
        <v>359</v>
      </c>
    </row>
    <row r="6" spans="1:1">
      <c r="A6" t="s">
        <v>360</v>
      </c>
    </row>
    <row r="7" spans="1:1">
      <c r="A7" t="s">
        <v>361</v>
      </c>
    </row>
    <row r="8" spans="1:1">
      <c r="A8" t="s">
        <v>362</v>
      </c>
    </row>
    <row r="9" spans="1:1">
      <c r="A9" t="s">
        <v>363</v>
      </c>
    </row>
    <row r="10" spans="1:1">
      <c r="A10" s="296" t="s">
        <v>364</v>
      </c>
    </row>
    <row r="11" spans="1:1">
      <c r="A11" t="s">
        <v>365</v>
      </c>
    </row>
    <row r="12" spans="1:1">
      <c r="A12" t="s">
        <v>366</v>
      </c>
    </row>
    <row r="13" spans="1:1">
      <c r="A13" t="s">
        <v>367</v>
      </c>
    </row>
    <row r="14" spans="1:1">
      <c r="A14" t="s">
        <v>368</v>
      </c>
    </row>
    <row r="15" spans="1:1">
      <c r="A15" t="s">
        <v>369</v>
      </c>
    </row>
    <row r="16" spans="1:1">
      <c r="A16" t="s">
        <v>370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D832-001F-40C4-A111-9EEF05311633}">
  <sheetPr>
    <tabColor theme="6" tint="0.39997558519241921"/>
  </sheetPr>
  <dimension ref="A1:I109"/>
  <sheetViews>
    <sheetView zoomScale="70" zoomScaleNormal="70" workbookViewId="0">
      <selection activeCell="K32" sqref="K32"/>
    </sheetView>
  </sheetViews>
  <sheetFormatPr defaultColWidth="9" defaultRowHeight="16.5"/>
  <cols>
    <col min="1" max="1" width="34.75" style="107" customWidth="1"/>
    <col min="2" max="2" width="16.5" style="107" bestFit="1" customWidth="1"/>
    <col min="3" max="3" width="15.125" style="107" bestFit="1" customWidth="1"/>
    <col min="4" max="4" width="15.375" style="107" bestFit="1" customWidth="1"/>
    <col min="5" max="5" width="14.25" style="107" customWidth="1"/>
    <col min="6" max="6" width="16.875" style="107" customWidth="1"/>
    <col min="7" max="7" width="2.25" style="107" customWidth="1"/>
    <col min="8" max="8" width="15.375" style="107" bestFit="1" customWidth="1"/>
    <col min="9" max="9" width="12.375" style="107" bestFit="1" customWidth="1"/>
    <col min="10" max="10" width="16.625" style="107" bestFit="1" customWidth="1"/>
    <col min="11" max="11" width="17.75" style="107" bestFit="1" customWidth="1"/>
    <col min="12" max="16384" width="9" style="107"/>
  </cols>
  <sheetData>
    <row r="1" spans="1:9">
      <c r="A1" s="107" t="s">
        <v>91</v>
      </c>
    </row>
    <row r="2" spans="1:9">
      <c r="A2" s="107" t="s">
        <v>349</v>
      </c>
    </row>
    <row r="3" spans="1:9">
      <c r="A3" s="107" t="s">
        <v>350</v>
      </c>
    </row>
    <row r="4" spans="1:9">
      <c r="A4" s="107" t="s">
        <v>174</v>
      </c>
    </row>
    <row r="5" spans="1:9">
      <c r="F5" s="108" t="s">
        <v>92</v>
      </c>
    </row>
    <row r="6" spans="1:9">
      <c r="A6" s="109" t="s">
        <v>93</v>
      </c>
      <c r="B6" s="110" t="s">
        <v>94</v>
      </c>
      <c r="C6" s="297" t="s">
        <v>351</v>
      </c>
      <c r="D6" s="297"/>
      <c r="E6" s="297" t="s">
        <v>352</v>
      </c>
      <c r="F6" s="297"/>
    </row>
    <row r="7" spans="1:9">
      <c r="A7" s="111" t="s">
        <v>95</v>
      </c>
      <c r="B7" s="112"/>
      <c r="C7" s="113"/>
      <c r="D7" s="113"/>
      <c r="E7" s="113"/>
      <c r="F7" s="113"/>
    </row>
    <row r="8" spans="1:9">
      <c r="A8" s="111" t="s">
        <v>140</v>
      </c>
      <c r="B8" s="112"/>
      <c r="C8" s="113"/>
      <c r="D8" s="113">
        <f>D9+D25</f>
        <v>0</v>
      </c>
      <c r="E8" s="113"/>
      <c r="F8" s="113">
        <f>F9+F25</f>
        <v>0</v>
      </c>
      <c r="H8" s="107" t="b">
        <f>D8=FAR!J14</f>
        <v>1</v>
      </c>
      <c r="I8" s="107" t="b">
        <f>F8=FAR!K14</f>
        <v>1</v>
      </c>
    </row>
    <row r="9" spans="1:9">
      <c r="A9" s="114" t="s">
        <v>177</v>
      </c>
      <c r="B9" s="112"/>
      <c r="C9" s="113"/>
      <c r="D9" s="113">
        <f>SUM(C10:C24)</f>
        <v>0</v>
      </c>
      <c r="E9" s="113"/>
      <c r="F9" s="113">
        <f>SUM(E10:E24)</f>
        <v>0</v>
      </c>
      <c r="H9" s="107" t="b">
        <f>D9=FAR!J15</f>
        <v>1</v>
      </c>
      <c r="I9" s="107" t="b">
        <f>F9=FAR!K15</f>
        <v>1</v>
      </c>
    </row>
    <row r="10" spans="1:9">
      <c r="A10" s="318" t="s">
        <v>178</v>
      </c>
      <c r="B10" s="246"/>
      <c r="C10" s="113">
        <f>FAR!J16</f>
        <v>0</v>
      </c>
      <c r="D10" s="113"/>
      <c r="E10" s="113">
        <f>FAR!K16</f>
        <v>0</v>
      </c>
      <c r="F10" s="113"/>
    </row>
    <row r="11" spans="1:9">
      <c r="A11" s="318" t="s">
        <v>63</v>
      </c>
      <c r="B11" s="246"/>
      <c r="C11" s="113">
        <f>FAR!J17</f>
        <v>0</v>
      </c>
      <c r="D11" s="113"/>
      <c r="E11" s="113">
        <f>FAR!K17</f>
        <v>0</v>
      </c>
      <c r="F11" s="113"/>
    </row>
    <row r="12" spans="1:9">
      <c r="A12" s="318" t="s">
        <v>179</v>
      </c>
      <c r="B12" s="246"/>
      <c r="C12" s="113">
        <f>FAR!J18</f>
        <v>0</v>
      </c>
      <c r="D12" s="113"/>
      <c r="E12" s="113">
        <f>FAR!K18</f>
        <v>0</v>
      </c>
      <c r="F12" s="113"/>
    </row>
    <row r="13" spans="1:9">
      <c r="A13" s="318" t="s">
        <v>102</v>
      </c>
      <c r="B13" s="246"/>
      <c r="C13" s="113">
        <f>FAR!J19</f>
        <v>0</v>
      </c>
      <c r="D13" s="113"/>
      <c r="E13" s="113">
        <f>FAR!K19</f>
        <v>0</v>
      </c>
      <c r="F13" s="113"/>
    </row>
    <row r="14" spans="1:9">
      <c r="A14" s="318" t="s">
        <v>180</v>
      </c>
      <c r="B14" s="246"/>
      <c r="C14" s="113">
        <f>FAR!J20</f>
        <v>0</v>
      </c>
      <c r="D14" s="113"/>
      <c r="E14" s="113">
        <f>FAR!K20</f>
        <v>0</v>
      </c>
      <c r="F14" s="113"/>
    </row>
    <row r="15" spans="1:9">
      <c r="A15" s="318" t="s">
        <v>3</v>
      </c>
      <c r="B15" s="246"/>
      <c r="C15" s="113">
        <f>FAR!J21</f>
        <v>0</v>
      </c>
      <c r="D15" s="113"/>
      <c r="E15" s="113">
        <f>FAR!K21</f>
        <v>0</v>
      </c>
      <c r="F15" s="113"/>
    </row>
    <row r="16" spans="1:9">
      <c r="A16" s="318" t="s">
        <v>181</v>
      </c>
      <c r="B16" s="246"/>
      <c r="C16" s="113">
        <f>FAR!J22</f>
        <v>0</v>
      </c>
      <c r="D16" s="113"/>
      <c r="E16" s="113">
        <f>FAR!K22</f>
        <v>0</v>
      </c>
      <c r="F16" s="113"/>
    </row>
    <row r="17" spans="1:9">
      <c r="A17" s="318" t="s">
        <v>44</v>
      </c>
      <c r="B17" s="246"/>
      <c r="C17" s="113">
        <f>FAR!J23</f>
        <v>0</v>
      </c>
      <c r="D17" s="113"/>
      <c r="E17" s="113">
        <f>FAR!K23</f>
        <v>0</v>
      </c>
      <c r="F17" s="113"/>
    </row>
    <row r="18" spans="1:9">
      <c r="A18" s="318" t="s">
        <v>10</v>
      </c>
      <c r="B18" s="246"/>
      <c r="C18" s="113">
        <f>FAR!J24</f>
        <v>0</v>
      </c>
      <c r="D18" s="113"/>
      <c r="E18" s="113">
        <f>FAR!K24</f>
        <v>0</v>
      </c>
      <c r="F18" s="113"/>
    </row>
    <row r="19" spans="1:9">
      <c r="A19" s="318" t="s">
        <v>11</v>
      </c>
      <c r="B19" s="246"/>
      <c r="C19" s="113">
        <f>FAR!J25</f>
        <v>0</v>
      </c>
      <c r="D19" s="113"/>
      <c r="E19" s="113">
        <f>FAR!K25</f>
        <v>0</v>
      </c>
      <c r="F19" s="113"/>
    </row>
    <row r="20" spans="1:9">
      <c r="A20" s="318" t="s">
        <v>182</v>
      </c>
      <c r="B20" s="246"/>
      <c r="C20" s="113">
        <f>FAR!J26</f>
        <v>0</v>
      </c>
      <c r="D20" s="113"/>
      <c r="E20" s="113">
        <f>FAR!K26</f>
        <v>0</v>
      </c>
      <c r="F20" s="113"/>
    </row>
    <row r="21" spans="1:9">
      <c r="A21" s="318" t="s">
        <v>85</v>
      </c>
      <c r="B21" s="246"/>
      <c r="C21" s="113">
        <f>FAR!J27</f>
        <v>0</v>
      </c>
      <c r="D21" s="113"/>
      <c r="E21" s="113">
        <f>FAR!K27</f>
        <v>0</v>
      </c>
      <c r="F21" s="113"/>
    </row>
    <row r="22" spans="1:9">
      <c r="A22" s="318" t="s">
        <v>183</v>
      </c>
      <c r="B22" s="246"/>
      <c r="C22" s="113">
        <f>FAR!J28</f>
        <v>0</v>
      </c>
      <c r="D22" s="113"/>
      <c r="E22" s="113">
        <f>FAR!K28</f>
        <v>0</v>
      </c>
      <c r="F22" s="113"/>
    </row>
    <row r="23" spans="1:9">
      <c r="A23" s="318" t="s">
        <v>184</v>
      </c>
      <c r="B23" s="246"/>
      <c r="C23" s="113">
        <f>FAR!J29</f>
        <v>0</v>
      </c>
      <c r="D23" s="113"/>
      <c r="E23" s="113">
        <f>FAR!K29</f>
        <v>0</v>
      </c>
      <c r="F23" s="113"/>
    </row>
    <row r="24" spans="1:9">
      <c r="A24" s="318" t="s">
        <v>185</v>
      </c>
      <c r="B24" s="246"/>
      <c r="C24" s="113">
        <f>FAR!J30</f>
        <v>0</v>
      </c>
      <c r="D24" s="113"/>
      <c r="E24" s="113">
        <f>FAR!K30</f>
        <v>0</v>
      </c>
      <c r="F24" s="113"/>
    </row>
    <row r="25" spans="1:9">
      <c r="A25" s="114" t="s">
        <v>186</v>
      </c>
      <c r="B25" s="112"/>
      <c r="C25" s="113"/>
      <c r="D25" s="113">
        <f>SUM(C26:C34)</f>
        <v>0</v>
      </c>
      <c r="E25" s="113"/>
      <c r="F25" s="113">
        <f>SUM(E26:E34)</f>
        <v>0</v>
      </c>
      <c r="H25" s="107" t="b">
        <f>D25=FAR!J31</f>
        <v>1</v>
      </c>
      <c r="I25" s="107" t="b">
        <f>F25=FAR!K31</f>
        <v>1</v>
      </c>
    </row>
    <row r="26" spans="1:9">
      <c r="A26" s="318" t="s">
        <v>57</v>
      </c>
      <c r="B26" s="246"/>
      <c r="C26" s="113">
        <f>FAR!J32</f>
        <v>0</v>
      </c>
      <c r="D26" s="113"/>
      <c r="E26" s="113">
        <f>FAR!K32</f>
        <v>0</v>
      </c>
      <c r="F26" s="113"/>
    </row>
    <row r="27" spans="1:9">
      <c r="A27" s="318" t="s">
        <v>187</v>
      </c>
      <c r="B27" s="246"/>
      <c r="C27" s="113">
        <f>FAR!J33</f>
        <v>0</v>
      </c>
      <c r="D27" s="113"/>
      <c r="E27" s="113">
        <f>FAR!K33</f>
        <v>0</v>
      </c>
      <c r="F27" s="113"/>
    </row>
    <row r="28" spans="1:9">
      <c r="A28" s="318" t="s">
        <v>12</v>
      </c>
      <c r="B28" s="246"/>
      <c r="C28" s="113">
        <f>FAR!J34</f>
        <v>0</v>
      </c>
      <c r="D28" s="113"/>
      <c r="E28" s="113">
        <f>FAR!K34</f>
        <v>0</v>
      </c>
      <c r="F28" s="113"/>
    </row>
    <row r="29" spans="1:9">
      <c r="A29" s="318" t="s">
        <v>188</v>
      </c>
      <c r="B29" s="246"/>
      <c r="C29" s="113">
        <f>FAR!J35</f>
        <v>0</v>
      </c>
      <c r="D29" s="113"/>
      <c r="E29" s="113">
        <f>FAR!K35</f>
        <v>0</v>
      </c>
      <c r="F29" s="113"/>
    </row>
    <row r="30" spans="1:9">
      <c r="A30" s="318" t="s">
        <v>13</v>
      </c>
      <c r="B30" s="246"/>
      <c r="C30" s="113">
        <f>FAR!J36</f>
        <v>0</v>
      </c>
      <c r="D30" s="113"/>
      <c r="E30" s="113">
        <f>FAR!K36</f>
        <v>0</v>
      </c>
      <c r="F30" s="113"/>
    </row>
    <row r="31" spans="1:9">
      <c r="A31" s="318" t="s">
        <v>189</v>
      </c>
      <c r="B31" s="246"/>
      <c r="C31" s="113">
        <f>FAR!J37</f>
        <v>0</v>
      </c>
      <c r="D31" s="113"/>
      <c r="E31" s="113">
        <f>FAR!K37</f>
        <v>0</v>
      </c>
      <c r="F31" s="113"/>
    </row>
    <row r="32" spans="1:9">
      <c r="A32" s="318" t="s">
        <v>14</v>
      </c>
      <c r="B32" s="246"/>
      <c r="C32" s="113">
        <f>FAR!J38</f>
        <v>0</v>
      </c>
      <c r="D32" s="113"/>
      <c r="E32" s="113">
        <f>FAR!K38</f>
        <v>0</v>
      </c>
      <c r="F32" s="113"/>
    </row>
    <row r="33" spans="1:9">
      <c r="A33" s="318" t="s">
        <v>190</v>
      </c>
      <c r="B33" s="246"/>
      <c r="C33" s="113">
        <f>FAR!J39</f>
        <v>0</v>
      </c>
      <c r="D33" s="113"/>
      <c r="E33" s="113">
        <f>FAR!K39</f>
        <v>0</v>
      </c>
      <c r="F33" s="113"/>
    </row>
    <row r="34" spans="1:9">
      <c r="A34" s="318" t="s">
        <v>191</v>
      </c>
      <c r="B34" s="246"/>
      <c r="C34" s="113">
        <f>FAR!J40</f>
        <v>0</v>
      </c>
      <c r="D34" s="113"/>
      <c r="E34" s="113">
        <f>FAR!K40</f>
        <v>0</v>
      </c>
      <c r="F34" s="113"/>
    </row>
    <row r="35" spans="1:9">
      <c r="A35" s="111" t="s">
        <v>141</v>
      </c>
      <c r="B35" s="112"/>
      <c r="C35" s="113"/>
      <c r="D35" s="113">
        <f>D36+D44+D60+D65</f>
        <v>0</v>
      </c>
      <c r="E35" s="113"/>
      <c r="F35" s="113">
        <f>F36+F44+F60+F65</f>
        <v>0</v>
      </c>
      <c r="H35" s="107" t="b">
        <f>D35=FAR!J41</f>
        <v>1</v>
      </c>
      <c r="I35" s="107" t="b">
        <f>F35=FAR!K41</f>
        <v>1</v>
      </c>
    </row>
    <row r="36" spans="1:9">
      <c r="A36" s="114" t="s">
        <v>192</v>
      </c>
      <c r="B36" s="112"/>
      <c r="C36" s="113"/>
      <c r="D36" s="113">
        <f>SUM(C37:C43)</f>
        <v>0</v>
      </c>
      <c r="E36" s="113"/>
      <c r="F36" s="113">
        <f>SUM(E37:E43)</f>
        <v>0</v>
      </c>
      <c r="H36" s="107" t="b">
        <f>D36=FAR!J42</f>
        <v>1</v>
      </c>
      <c r="I36" s="107" t="b">
        <f>F36=FAR!K42</f>
        <v>1</v>
      </c>
    </row>
    <row r="37" spans="1:9">
      <c r="A37" s="318" t="s">
        <v>193</v>
      </c>
      <c r="B37" s="246"/>
      <c r="C37" s="113">
        <f>FAR!J43</f>
        <v>0</v>
      </c>
      <c r="D37" s="113"/>
      <c r="E37" s="113">
        <f>FAR!K43</f>
        <v>0</v>
      </c>
      <c r="F37" s="113"/>
    </row>
    <row r="38" spans="1:9">
      <c r="A38" s="318" t="s">
        <v>194</v>
      </c>
      <c r="B38" s="246"/>
      <c r="C38" s="113">
        <f>FAR!J44</f>
        <v>0</v>
      </c>
      <c r="D38" s="113"/>
      <c r="E38" s="113">
        <f>FAR!K44</f>
        <v>0</v>
      </c>
      <c r="F38" s="113"/>
    </row>
    <row r="39" spans="1:9">
      <c r="A39" s="318" t="s">
        <v>195</v>
      </c>
      <c r="B39" s="246"/>
      <c r="C39" s="113">
        <f>FAR!J45</f>
        <v>0</v>
      </c>
      <c r="D39" s="113"/>
      <c r="E39" s="113">
        <f>FAR!K45</f>
        <v>0</v>
      </c>
      <c r="F39" s="113"/>
    </row>
    <row r="40" spans="1:9">
      <c r="A40" s="318" t="s">
        <v>196</v>
      </c>
      <c r="B40" s="246"/>
      <c r="C40" s="113">
        <f>FAR!J46</f>
        <v>0</v>
      </c>
      <c r="D40" s="113"/>
      <c r="E40" s="113">
        <f>FAR!K46</f>
        <v>0</v>
      </c>
      <c r="F40" s="113"/>
    </row>
    <row r="41" spans="1:9">
      <c r="A41" s="318" t="s">
        <v>197</v>
      </c>
      <c r="B41" s="246"/>
      <c r="C41" s="113">
        <f>FAR!J47</f>
        <v>0</v>
      </c>
      <c r="D41" s="113"/>
      <c r="E41" s="113">
        <f>FAR!K47</f>
        <v>0</v>
      </c>
      <c r="F41" s="113"/>
    </row>
    <row r="42" spans="1:9">
      <c r="A42" s="318" t="s">
        <v>198</v>
      </c>
      <c r="B42" s="246"/>
      <c r="C42" s="113">
        <f>FAR!J48</f>
        <v>0</v>
      </c>
      <c r="D42" s="113"/>
      <c r="E42" s="113">
        <f>FAR!K48</f>
        <v>0</v>
      </c>
      <c r="F42" s="113"/>
    </row>
    <row r="43" spans="1:9">
      <c r="A43" s="318" t="s">
        <v>199</v>
      </c>
      <c r="B43" s="246"/>
      <c r="C43" s="113">
        <f>FAR!J49</f>
        <v>0</v>
      </c>
      <c r="D43" s="113"/>
      <c r="E43" s="113">
        <f>FAR!K49</f>
        <v>0</v>
      </c>
      <c r="F43" s="113"/>
    </row>
    <row r="44" spans="1:9">
      <c r="A44" s="114" t="s">
        <v>200</v>
      </c>
      <c r="B44" s="112"/>
      <c r="C44" s="113"/>
      <c r="D44" s="113">
        <f>SUM(C45:C59)</f>
        <v>0</v>
      </c>
      <c r="E44" s="113"/>
      <c r="F44" s="113">
        <f>SUM(E45:E59)</f>
        <v>0</v>
      </c>
      <c r="H44" s="107" t="b">
        <f>D44=FAR!J50</f>
        <v>1</v>
      </c>
      <c r="I44" s="107" t="b">
        <f>F44=FAR!K50</f>
        <v>1</v>
      </c>
    </row>
    <row r="45" spans="1:9">
      <c r="A45" s="318" t="s">
        <v>45</v>
      </c>
      <c r="B45" s="246"/>
      <c r="C45" s="113">
        <f>FAR!J51</f>
        <v>0</v>
      </c>
      <c r="D45" s="113"/>
      <c r="E45" s="113">
        <f>FAR!K51</f>
        <v>0</v>
      </c>
      <c r="F45" s="113"/>
    </row>
    <row r="46" spans="1:9">
      <c r="A46" s="318" t="s">
        <v>46</v>
      </c>
      <c r="B46" s="246"/>
      <c r="C46" s="113">
        <f>FAR!J52</f>
        <v>0</v>
      </c>
      <c r="D46" s="113"/>
      <c r="E46" s="113">
        <f>FAR!K52</f>
        <v>0</v>
      </c>
      <c r="F46" s="113"/>
    </row>
    <row r="47" spans="1:9">
      <c r="A47" s="318" t="s">
        <v>201</v>
      </c>
      <c r="B47" s="246"/>
      <c r="C47" s="113">
        <f>FAR!J53</f>
        <v>0</v>
      </c>
      <c r="D47" s="113"/>
      <c r="E47" s="113">
        <f>FAR!K53</f>
        <v>0</v>
      </c>
      <c r="F47" s="113"/>
    </row>
    <row r="48" spans="1:9">
      <c r="A48" s="318" t="s">
        <v>58</v>
      </c>
      <c r="B48" s="246"/>
      <c r="C48" s="113">
        <f>FAR!J54</f>
        <v>0</v>
      </c>
      <c r="D48" s="113"/>
      <c r="E48" s="113">
        <f>FAR!K54</f>
        <v>0</v>
      </c>
      <c r="F48" s="113"/>
    </row>
    <row r="49" spans="1:9">
      <c r="A49" s="318" t="s">
        <v>202</v>
      </c>
      <c r="B49" s="246"/>
      <c r="C49" s="113">
        <f>FAR!J55</f>
        <v>0</v>
      </c>
      <c r="D49" s="113"/>
      <c r="E49" s="113">
        <f>FAR!K55</f>
        <v>0</v>
      </c>
      <c r="F49" s="113"/>
    </row>
    <row r="50" spans="1:9">
      <c r="A50" s="318" t="s">
        <v>15</v>
      </c>
      <c r="B50" s="246"/>
      <c r="C50" s="113">
        <f>FAR!J56</f>
        <v>0</v>
      </c>
      <c r="D50" s="113"/>
      <c r="E50" s="113">
        <f>FAR!K56</f>
        <v>0</v>
      </c>
      <c r="F50" s="113"/>
    </row>
    <row r="51" spans="1:9">
      <c r="A51" s="318" t="s">
        <v>203</v>
      </c>
      <c r="B51" s="246"/>
      <c r="C51" s="113">
        <f>FAR!J57</f>
        <v>0</v>
      </c>
      <c r="D51" s="113"/>
      <c r="E51" s="113">
        <f>FAR!K57</f>
        <v>0</v>
      </c>
      <c r="F51" s="113"/>
    </row>
    <row r="52" spans="1:9">
      <c r="A52" s="318" t="s">
        <v>16</v>
      </c>
      <c r="B52" s="246"/>
      <c r="C52" s="113">
        <f>FAR!J58</f>
        <v>0</v>
      </c>
      <c r="D52" s="113"/>
      <c r="E52" s="113">
        <f>FAR!K58</f>
        <v>0</v>
      </c>
      <c r="F52" s="113"/>
    </row>
    <row r="53" spans="1:9">
      <c r="A53" s="318" t="s">
        <v>204</v>
      </c>
      <c r="B53" s="246"/>
      <c r="C53" s="113">
        <f>FAR!J59</f>
        <v>0</v>
      </c>
      <c r="D53" s="113"/>
      <c r="E53" s="113">
        <f>FAR!K59</f>
        <v>0</v>
      </c>
      <c r="F53" s="113"/>
    </row>
    <row r="54" spans="1:9">
      <c r="A54" s="318" t="s">
        <v>26</v>
      </c>
      <c r="B54" s="246"/>
      <c r="C54" s="113">
        <f>FAR!J60</f>
        <v>0</v>
      </c>
      <c r="D54" s="113"/>
      <c r="E54" s="113">
        <f>FAR!K60</f>
        <v>0</v>
      </c>
      <c r="F54" s="113"/>
    </row>
    <row r="55" spans="1:9">
      <c r="A55" s="318" t="s">
        <v>205</v>
      </c>
      <c r="B55" s="246"/>
      <c r="C55" s="113">
        <f>FAR!J61</f>
        <v>0</v>
      </c>
      <c r="D55" s="113"/>
      <c r="E55" s="113">
        <f>FAR!K61</f>
        <v>0</v>
      </c>
      <c r="F55" s="113"/>
    </row>
    <row r="56" spans="1:9">
      <c r="A56" s="318" t="s">
        <v>103</v>
      </c>
      <c r="B56" s="246"/>
      <c r="C56" s="113">
        <f>FAR!J62</f>
        <v>0</v>
      </c>
      <c r="D56" s="113"/>
      <c r="E56" s="113">
        <f>FAR!K62</f>
        <v>0</v>
      </c>
      <c r="F56" s="113"/>
    </row>
    <row r="57" spans="1:9">
      <c r="A57" s="318" t="s">
        <v>206</v>
      </c>
      <c r="B57" s="246"/>
      <c r="C57" s="113">
        <f>FAR!J63</f>
        <v>0</v>
      </c>
      <c r="D57" s="113"/>
      <c r="E57" s="113">
        <f>FAR!K63</f>
        <v>0</v>
      </c>
      <c r="F57" s="113"/>
    </row>
    <row r="58" spans="1:9">
      <c r="A58" s="318" t="s">
        <v>47</v>
      </c>
      <c r="B58" s="246"/>
      <c r="C58" s="113">
        <f>FAR!J64</f>
        <v>0</v>
      </c>
      <c r="D58" s="113"/>
      <c r="E58" s="113">
        <f>FAR!K64</f>
        <v>0</v>
      </c>
      <c r="F58" s="113"/>
    </row>
    <row r="59" spans="1:9">
      <c r="A59" s="318" t="s">
        <v>207</v>
      </c>
      <c r="B59" s="246"/>
      <c r="C59" s="113">
        <f>FAR!J65</f>
        <v>0</v>
      </c>
      <c r="D59" s="113"/>
      <c r="E59" s="113">
        <f>FAR!K65</f>
        <v>0</v>
      </c>
      <c r="F59" s="113"/>
    </row>
    <row r="60" spans="1:9">
      <c r="A60" s="114" t="s">
        <v>208</v>
      </c>
      <c r="B60" s="112"/>
      <c r="C60" s="113"/>
      <c r="D60" s="113">
        <f>SUM(C61:C64)</f>
        <v>0</v>
      </c>
      <c r="E60" s="113"/>
      <c r="F60" s="113">
        <f>SUM(E61:E64)</f>
        <v>0</v>
      </c>
      <c r="H60" s="107" t="b">
        <f>D60=FAR!J66</f>
        <v>1</v>
      </c>
      <c r="I60" s="107" t="b">
        <f>F60=FAR!K66</f>
        <v>1</v>
      </c>
    </row>
    <row r="61" spans="1:9">
      <c r="A61" s="318" t="s">
        <v>209</v>
      </c>
      <c r="B61" s="246"/>
      <c r="C61" s="113">
        <f>FAR!J67</f>
        <v>0</v>
      </c>
      <c r="D61" s="113"/>
      <c r="E61" s="113">
        <f>FAR!K67</f>
        <v>0</v>
      </c>
      <c r="F61" s="113"/>
    </row>
    <row r="62" spans="1:9">
      <c r="A62" s="318" t="s">
        <v>210</v>
      </c>
      <c r="B62" s="246"/>
      <c r="C62" s="113">
        <f>FAR!J68</f>
        <v>0</v>
      </c>
      <c r="D62" s="113"/>
      <c r="E62" s="113">
        <f>FAR!K68</f>
        <v>0</v>
      </c>
      <c r="F62" s="113"/>
    </row>
    <row r="63" spans="1:9">
      <c r="A63" s="318" t="s">
        <v>142</v>
      </c>
      <c r="B63" s="246"/>
      <c r="C63" s="113">
        <f>FAR!J69</f>
        <v>0</v>
      </c>
      <c r="D63" s="113"/>
      <c r="E63" s="113">
        <f>FAR!K69</f>
        <v>0</v>
      </c>
      <c r="F63" s="113"/>
    </row>
    <row r="64" spans="1:9">
      <c r="A64" s="318" t="s">
        <v>211</v>
      </c>
      <c r="B64" s="246"/>
      <c r="C64" s="113">
        <f>FAR!J70</f>
        <v>0</v>
      </c>
      <c r="D64" s="113"/>
      <c r="E64" s="113">
        <f>FAR!K70</f>
        <v>0</v>
      </c>
      <c r="F64" s="113"/>
    </row>
    <row r="65" spans="1:9">
      <c r="A65" s="114" t="s">
        <v>212</v>
      </c>
      <c r="B65" s="112"/>
      <c r="C65" s="113"/>
      <c r="D65" s="113">
        <f>SUM(C66:C69)</f>
        <v>0</v>
      </c>
      <c r="E65" s="113"/>
      <c r="F65" s="113">
        <f>SUM(E66:E69)</f>
        <v>0</v>
      </c>
      <c r="H65" s="107" t="b">
        <f>D65=FAR!J71</f>
        <v>1</v>
      </c>
      <c r="I65" s="107" t="b">
        <f>F65=FAR!K71</f>
        <v>1</v>
      </c>
    </row>
    <row r="66" spans="1:9">
      <c r="A66" s="318" t="s">
        <v>213</v>
      </c>
      <c r="B66" s="246"/>
      <c r="C66" s="113">
        <f>FAR!J72</f>
        <v>0</v>
      </c>
      <c r="D66" s="113"/>
      <c r="E66" s="113">
        <f>FAR!K72</f>
        <v>0</v>
      </c>
      <c r="F66" s="113"/>
    </row>
    <row r="67" spans="1:9">
      <c r="A67" s="318" t="s">
        <v>214</v>
      </c>
      <c r="B67" s="246"/>
      <c r="C67" s="113">
        <f>FAR!J73</f>
        <v>0</v>
      </c>
      <c r="D67" s="113"/>
      <c r="E67" s="113">
        <f>FAR!K73</f>
        <v>0</v>
      </c>
      <c r="F67" s="113"/>
    </row>
    <row r="68" spans="1:9">
      <c r="A68" s="318" t="s">
        <v>49</v>
      </c>
      <c r="B68" s="246"/>
      <c r="C68" s="113">
        <f>FAR!J74</f>
        <v>0</v>
      </c>
      <c r="D68" s="113"/>
      <c r="E68" s="113">
        <f>FAR!K74</f>
        <v>0</v>
      </c>
      <c r="F68" s="113"/>
    </row>
    <row r="69" spans="1:9">
      <c r="A69" s="318" t="s">
        <v>169</v>
      </c>
      <c r="B69" s="246"/>
      <c r="C69" s="113">
        <f>FAR!J75</f>
        <v>0</v>
      </c>
      <c r="D69" s="113"/>
      <c r="E69" s="113">
        <f>FAR!K75</f>
        <v>0</v>
      </c>
      <c r="F69" s="113"/>
    </row>
    <row r="70" spans="1:9">
      <c r="A70" s="111" t="s">
        <v>96</v>
      </c>
      <c r="B70" s="112"/>
      <c r="C70" s="113"/>
      <c r="D70" s="113">
        <f>D8+D35</f>
        <v>0</v>
      </c>
      <c r="E70" s="113"/>
      <c r="F70" s="113">
        <f>F8+F35</f>
        <v>0</v>
      </c>
      <c r="H70" s="107" t="b">
        <f>D70=FAR!J76</f>
        <v>1</v>
      </c>
      <c r="I70" s="107" t="b">
        <f>F70=FAR!K76</f>
        <v>1</v>
      </c>
    </row>
    <row r="71" spans="1:9">
      <c r="A71" s="111" t="s">
        <v>97</v>
      </c>
      <c r="B71" s="112"/>
      <c r="C71" s="113"/>
      <c r="D71" s="113"/>
      <c r="E71" s="113"/>
      <c r="F71" s="113"/>
    </row>
    <row r="72" spans="1:9">
      <c r="A72" s="111" t="s">
        <v>143</v>
      </c>
      <c r="B72" s="112"/>
      <c r="C72" s="113"/>
      <c r="D72" s="113">
        <f>SUM(C73:C82)</f>
        <v>0</v>
      </c>
      <c r="E72" s="113"/>
      <c r="F72" s="113">
        <f>SUM(E73:E82)</f>
        <v>0</v>
      </c>
      <c r="H72" s="107" t="b">
        <f>D72=FAR!J77</f>
        <v>1</v>
      </c>
      <c r="I72" s="107" t="b">
        <f>F72=FAR!K77</f>
        <v>1</v>
      </c>
    </row>
    <row r="73" spans="1:9">
      <c r="A73" s="318" t="s">
        <v>104</v>
      </c>
      <c r="B73" s="246"/>
      <c r="C73" s="113">
        <f>FAR!J78</f>
        <v>0</v>
      </c>
      <c r="D73" s="113"/>
      <c r="E73" s="113">
        <f>FAR!K78</f>
        <v>0</v>
      </c>
      <c r="F73" s="113"/>
    </row>
    <row r="74" spans="1:9">
      <c r="A74" s="318" t="s">
        <v>105</v>
      </c>
      <c r="B74" s="246"/>
      <c r="C74" s="113">
        <f>FAR!J79</f>
        <v>0</v>
      </c>
      <c r="D74" s="113"/>
      <c r="E74" s="113">
        <f>FAR!K79</f>
        <v>0</v>
      </c>
      <c r="F74" s="113"/>
    </row>
    <row r="75" spans="1:9">
      <c r="A75" s="318" t="s">
        <v>107</v>
      </c>
      <c r="B75" s="246"/>
      <c r="C75" s="113">
        <f>FAR!J80</f>
        <v>0</v>
      </c>
      <c r="D75" s="113"/>
      <c r="E75" s="113">
        <f>FAR!K80</f>
        <v>0</v>
      </c>
      <c r="F75" s="113"/>
    </row>
    <row r="76" spans="1:9">
      <c r="A76" s="318" t="s">
        <v>144</v>
      </c>
      <c r="B76" s="246"/>
      <c r="C76" s="113">
        <f>FAR!J81</f>
        <v>0</v>
      </c>
      <c r="D76" s="113"/>
      <c r="E76" s="113">
        <f>FAR!K81</f>
        <v>0</v>
      </c>
      <c r="F76" s="113"/>
    </row>
    <row r="77" spans="1:9">
      <c r="A77" s="318" t="s">
        <v>215</v>
      </c>
      <c r="B77" s="246"/>
      <c r="C77" s="113">
        <f>FAR!J82</f>
        <v>0</v>
      </c>
      <c r="D77" s="113"/>
      <c r="E77" s="113">
        <f>FAR!K82</f>
        <v>0</v>
      </c>
      <c r="F77" s="113"/>
    </row>
    <row r="78" spans="1:9">
      <c r="A78" s="318" t="s">
        <v>17</v>
      </c>
      <c r="B78" s="246"/>
      <c r="C78" s="113">
        <f>FAR!J83</f>
        <v>0</v>
      </c>
      <c r="D78" s="113"/>
      <c r="E78" s="113">
        <f>FAR!K83</f>
        <v>0</v>
      </c>
      <c r="F78" s="113"/>
    </row>
    <row r="79" spans="1:9">
      <c r="A79" s="318" t="s">
        <v>48</v>
      </c>
      <c r="B79" s="246"/>
      <c r="C79" s="113">
        <f>FAR!J84</f>
        <v>0</v>
      </c>
      <c r="D79" s="113"/>
      <c r="E79" s="113">
        <f>FAR!K84</f>
        <v>0</v>
      </c>
      <c r="F79" s="113"/>
    </row>
    <row r="80" spans="1:9">
      <c r="A80" s="318" t="s">
        <v>18</v>
      </c>
      <c r="B80" s="246"/>
      <c r="C80" s="113">
        <f>FAR!J85</f>
        <v>0</v>
      </c>
      <c r="D80" s="113"/>
      <c r="E80" s="113">
        <f>FAR!K85</f>
        <v>0</v>
      </c>
      <c r="F80" s="113"/>
    </row>
    <row r="81" spans="1:9">
      <c r="A81" s="318" t="s">
        <v>216</v>
      </c>
      <c r="B81" s="246"/>
      <c r="C81" s="113">
        <f>FAR!J86</f>
        <v>0</v>
      </c>
      <c r="D81" s="113"/>
      <c r="E81" s="113">
        <f>FAR!K86</f>
        <v>0</v>
      </c>
      <c r="F81" s="113"/>
    </row>
    <row r="82" spans="1:9">
      <c r="A82" s="318" t="s">
        <v>217</v>
      </c>
      <c r="B82" s="246"/>
      <c r="C82" s="113">
        <f>FAR!J87</f>
        <v>0</v>
      </c>
      <c r="D82" s="113"/>
      <c r="E82" s="113">
        <f>FAR!K87</f>
        <v>0</v>
      </c>
      <c r="F82" s="113"/>
    </row>
    <row r="83" spans="1:9">
      <c r="A83" s="111" t="s">
        <v>145</v>
      </c>
      <c r="B83" s="112"/>
      <c r="C83" s="113"/>
      <c r="D83" s="113">
        <f>SUM(C84:C88)</f>
        <v>0</v>
      </c>
      <c r="E83" s="113"/>
      <c r="F83" s="113">
        <f>SUM(E84:E88)</f>
        <v>0</v>
      </c>
      <c r="H83" s="107" t="b">
        <f>D83=FAR!J88</f>
        <v>1</v>
      </c>
      <c r="I83" s="107" t="b">
        <f>F83=FAR!K88</f>
        <v>1</v>
      </c>
    </row>
    <row r="84" spans="1:9">
      <c r="A84" s="318" t="s">
        <v>146</v>
      </c>
      <c r="B84" s="246"/>
      <c r="C84" s="113">
        <f>FAR!J89</f>
        <v>0</v>
      </c>
      <c r="D84" s="113"/>
      <c r="E84" s="113">
        <f>FAR!K89</f>
        <v>0</v>
      </c>
      <c r="F84" s="113"/>
    </row>
    <row r="85" spans="1:9">
      <c r="A85" s="318" t="s">
        <v>218</v>
      </c>
      <c r="B85" s="246"/>
      <c r="C85" s="113">
        <f>FAR!J90</f>
        <v>0</v>
      </c>
      <c r="D85" s="113"/>
      <c r="E85" s="113">
        <f>FAR!K90</f>
        <v>0</v>
      </c>
      <c r="F85" s="113"/>
    </row>
    <row r="86" spans="1:9">
      <c r="A86" s="318" t="s">
        <v>106</v>
      </c>
      <c r="B86" s="246"/>
      <c r="C86" s="113">
        <f>FAR!J91</f>
        <v>0</v>
      </c>
      <c r="D86" s="113"/>
      <c r="E86" s="113">
        <f>FAR!K91</f>
        <v>0</v>
      </c>
      <c r="F86" s="113"/>
    </row>
    <row r="87" spans="1:9">
      <c r="A87" s="318" t="s">
        <v>147</v>
      </c>
      <c r="B87" s="246"/>
      <c r="C87" s="113">
        <f>FAR!J92</f>
        <v>0</v>
      </c>
      <c r="D87" s="113"/>
      <c r="E87" s="113">
        <f>FAR!K92</f>
        <v>0</v>
      </c>
      <c r="F87" s="113"/>
    </row>
    <row r="88" spans="1:9">
      <c r="A88" s="318" t="s">
        <v>219</v>
      </c>
      <c r="B88" s="246"/>
      <c r="C88" s="113">
        <f>FAR!J93</f>
        <v>0</v>
      </c>
      <c r="D88" s="113"/>
      <c r="E88" s="113">
        <f>FAR!K93</f>
        <v>0</v>
      </c>
      <c r="F88" s="113"/>
    </row>
    <row r="89" spans="1:9">
      <c r="A89" s="111" t="s">
        <v>98</v>
      </c>
      <c r="B89" s="112"/>
      <c r="C89" s="113"/>
      <c r="D89" s="113">
        <f>D72+D83</f>
        <v>0</v>
      </c>
      <c r="E89" s="113"/>
      <c r="F89" s="113">
        <f>F72+F83</f>
        <v>0</v>
      </c>
      <c r="H89" s="107" t="b">
        <f>D89=FAR!J94</f>
        <v>1</v>
      </c>
      <c r="I89" s="107" t="b">
        <f>F89=FAR!K94</f>
        <v>1</v>
      </c>
    </row>
    <row r="90" spans="1:9">
      <c r="A90" s="111" t="s">
        <v>99</v>
      </c>
      <c r="B90" s="112"/>
      <c r="C90" s="113"/>
      <c r="D90" s="113"/>
      <c r="E90" s="113"/>
      <c r="F90" s="113"/>
    </row>
    <row r="91" spans="1:9">
      <c r="A91" s="111" t="s">
        <v>148</v>
      </c>
      <c r="B91" s="112"/>
      <c r="C91" s="113"/>
      <c r="D91" s="113">
        <f>SUM(C92:C92)</f>
        <v>0</v>
      </c>
      <c r="E91" s="113"/>
      <c r="F91" s="113">
        <f>SUM(E92:E92)</f>
        <v>0</v>
      </c>
      <c r="H91" s="107" t="b">
        <f>D91=FAR!J95</f>
        <v>1</v>
      </c>
      <c r="I91" s="107" t="b">
        <f>F91=FAR!K95</f>
        <v>1</v>
      </c>
    </row>
    <row r="92" spans="1:9">
      <c r="A92" s="318" t="s">
        <v>50</v>
      </c>
      <c r="B92" s="246"/>
      <c r="C92" s="113">
        <f>FAR!J96</f>
        <v>0</v>
      </c>
      <c r="D92" s="113"/>
      <c r="E92" s="113">
        <f>FAR!K96</f>
        <v>0</v>
      </c>
      <c r="F92" s="113"/>
    </row>
    <row r="93" spans="1:9">
      <c r="A93" s="111" t="s">
        <v>149</v>
      </c>
      <c r="B93" s="112"/>
      <c r="C93" s="113"/>
      <c r="D93" s="113">
        <f>SUM(C94:C95)</f>
        <v>0</v>
      </c>
      <c r="E93" s="113"/>
      <c r="F93" s="113">
        <f>SUM(E94:E95)</f>
        <v>0</v>
      </c>
      <c r="H93" s="107" t="b">
        <f>D93=FAR!J97</f>
        <v>1</v>
      </c>
      <c r="I93" s="107" t="b">
        <f>F93=FAR!K97</f>
        <v>1</v>
      </c>
    </row>
    <row r="94" spans="1:9">
      <c r="A94" s="318" t="s">
        <v>27</v>
      </c>
      <c r="B94" s="246"/>
      <c r="C94" s="113">
        <f>FAR!J98</f>
        <v>0</v>
      </c>
      <c r="D94" s="113"/>
      <c r="E94" s="113">
        <f>FAR!K98</f>
        <v>0</v>
      </c>
      <c r="F94" s="113"/>
    </row>
    <row r="95" spans="1:9">
      <c r="A95" s="318" t="s">
        <v>86</v>
      </c>
      <c r="B95" s="246"/>
      <c r="C95" s="113">
        <f>FAR!J99</f>
        <v>0</v>
      </c>
      <c r="D95" s="113"/>
      <c r="E95" s="113">
        <f>FAR!K99</f>
        <v>0</v>
      </c>
      <c r="F95" s="113"/>
    </row>
    <row r="96" spans="1:9">
      <c r="A96" s="111" t="s">
        <v>220</v>
      </c>
      <c r="B96" s="112"/>
      <c r="C96" s="113"/>
      <c r="D96" s="113">
        <f>SUM(C97:C98)</f>
        <v>0</v>
      </c>
      <c r="E96" s="113"/>
      <c r="F96" s="113">
        <f>SUM(E97:E98)</f>
        <v>0</v>
      </c>
      <c r="H96" s="107" t="b">
        <f>D96=FAR!J100</f>
        <v>1</v>
      </c>
      <c r="I96" s="107" t="b">
        <f>F96=FAR!K100</f>
        <v>1</v>
      </c>
    </row>
    <row r="97" spans="1:9">
      <c r="A97" s="318" t="s">
        <v>59</v>
      </c>
      <c r="B97" s="246"/>
      <c r="C97" s="113">
        <f>FAR!J101</f>
        <v>0</v>
      </c>
      <c r="D97" s="113"/>
      <c r="E97" s="113">
        <f>FAR!K101</f>
        <v>0</v>
      </c>
      <c r="F97" s="113"/>
    </row>
    <row r="98" spans="1:9">
      <c r="A98" s="318" t="s">
        <v>150</v>
      </c>
      <c r="B98" s="246"/>
      <c r="C98" s="113">
        <f>FAR!J102</f>
        <v>0</v>
      </c>
      <c r="D98" s="113"/>
      <c r="E98" s="113">
        <f>FAR!K102</f>
        <v>0</v>
      </c>
      <c r="F98" s="113"/>
    </row>
    <row r="99" spans="1:9">
      <c r="A99" s="111" t="s">
        <v>151</v>
      </c>
      <c r="B99" s="112"/>
      <c r="C99" s="113"/>
      <c r="D99" s="113">
        <f>SUM(C100:C101)</f>
        <v>0</v>
      </c>
      <c r="E99" s="113"/>
      <c r="F99" s="113">
        <f>SUM(E100:E101)</f>
        <v>0</v>
      </c>
      <c r="H99" s="107" t="b">
        <f>D99=FAR!J103</f>
        <v>1</v>
      </c>
      <c r="I99" s="107" t="b">
        <f>F99=FAR!K103</f>
        <v>1</v>
      </c>
    </row>
    <row r="100" spans="1:9">
      <c r="A100" s="318" t="s">
        <v>87</v>
      </c>
      <c r="B100" s="246"/>
      <c r="C100" s="113">
        <f>FAR!J104</f>
        <v>0</v>
      </c>
      <c r="D100" s="113"/>
      <c r="E100" s="113">
        <f>FAR!K104</f>
        <v>0</v>
      </c>
      <c r="F100" s="113"/>
    </row>
    <row r="101" spans="1:9">
      <c r="A101" s="318" t="s">
        <v>221</v>
      </c>
      <c r="B101" s="246"/>
      <c r="C101" s="113">
        <f>FAR!J105</f>
        <v>0</v>
      </c>
      <c r="D101" s="113"/>
      <c r="E101" s="113">
        <f>FAR!K105</f>
        <v>0</v>
      </c>
      <c r="F101" s="113"/>
    </row>
    <row r="102" spans="1:9">
      <c r="A102" s="111" t="s">
        <v>152</v>
      </c>
      <c r="B102" s="112"/>
      <c r="C102" s="113"/>
      <c r="D102" s="113">
        <f>SUM(C103:C106)</f>
        <v>0</v>
      </c>
      <c r="E102" s="113"/>
      <c r="F102" s="113">
        <f>SUM(E103:E106)</f>
        <v>0</v>
      </c>
      <c r="H102" s="107" t="b">
        <f>D102=FAR!J106</f>
        <v>1</v>
      </c>
      <c r="I102" s="107" t="b">
        <f>F102=FAR!K106</f>
        <v>1</v>
      </c>
    </row>
    <row r="103" spans="1:9">
      <c r="A103" s="318" t="s">
        <v>153</v>
      </c>
      <c r="B103" s="246"/>
      <c r="C103" s="113">
        <f>FAR!J107</f>
        <v>0</v>
      </c>
      <c r="D103" s="113"/>
      <c r="E103" s="113">
        <f>FAR!K107</f>
        <v>0</v>
      </c>
      <c r="F103" s="113"/>
    </row>
    <row r="104" spans="1:9">
      <c r="A104" s="318" t="s">
        <v>222</v>
      </c>
      <c r="B104" s="246"/>
      <c r="C104" s="113">
        <f>FAR!J108</f>
        <v>0</v>
      </c>
      <c r="D104" s="113"/>
      <c r="E104" s="113">
        <f>FAR!K108</f>
        <v>0</v>
      </c>
      <c r="F104" s="113"/>
    </row>
    <row r="105" spans="1:9">
      <c r="A105" s="318" t="s">
        <v>223</v>
      </c>
      <c r="B105" s="246"/>
      <c r="C105" s="113">
        <f>FAR!J109</f>
        <v>0</v>
      </c>
      <c r="D105" s="113"/>
      <c r="E105" s="113">
        <f>FAR!K109</f>
        <v>0</v>
      </c>
      <c r="F105" s="113"/>
    </row>
    <row r="106" spans="1:9">
      <c r="A106" s="318" t="s">
        <v>108</v>
      </c>
      <c r="B106" s="246"/>
      <c r="C106" s="113">
        <f>FAR!J110</f>
        <v>0</v>
      </c>
      <c r="D106" s="113"/>
      <c r="E106" s="113">
        <f>FAR!K110</f>
        <v>0</v>
      </c>
      <c r="F106" s="113"/>
    </row>
    <row r="107" spans="1:9">
      <c r="A107" s="111" t="s">
        <v>100</v>
      </c>
      <c r="B107" s="112"/>
      <c r="C107" s="113"/>
      <c r="D107" s="113">
        <f>D91+D93+D96+D99+D102</f>
        <v>0</v>
      </c>
      <c r="E107" s="113"/>
      <c r="F107" s="113">
        <f>F91+F93+F96+F99+F102</f>
        <v>0</v>
      </c>
      <c r="H107" s="107" t="b">
        <f>D107=FAR!J111</f>
        <v>1</v>
      </c>
      <c r="I107" s="107" t="b">
        <f>F107=FAR!K111</f>
        <v>1</v>
      </c>
    </row>
    <row r="108" spans="1:9">
      <c r="A108" s="111" t="s">
        <v>101</v>
      </c>
      <c r="B108" s="112"/>
      <c r="C108" s="113"/>
      <c r="D108" s="113">
        <f>D89+D107</f>
        <v>0</v>
      </c>
      <c r="E108" s="113"/>
      <c r="F108" s="113">
        <f>F89+F107</f>
        <v>0</v>
      </c>
      <c r="H108" s="107" t="b">
        <f>D108=FAR!J112</f>
        <v>1</v>
      </c>
      <c r="I108" s="107" t="b">
        <f>F108=FAR!K112</f>
        <v>1</v>
      </c>
    </row>
    <row r="109" spans="1:9">
      <c r="A109" s="116"/>
      <c r="B109" s="116"/>
      <c r="C109" s="116"/>
      <c r="D109" s="116" t="b">
        <f>D108=D70</f>
        <v>1</v>
      </c>
      <c r="E109" s="116"/>
      <c r="F109" s="116" t="b">
        <f>F108=F70</f>
        <v>1</v>
      </c>
    </row>
  </sheetData>
  <mergeCells count="2">
    <mergeCell ref="C6:D6"/>
    <mergeCell ref="E6:F6"/>
  </mergeCells>
  <phoneticPr fontId="3" type="noConversion"/>
  <conditionalFormatting sqref="A1:XFD6 A110:XFD1048576">
    <cfRule type="containsText" dxfId="762" priority="207" operator="containsText" text="TRUE">
      <formula>NOT(ISERROR(SEARCH("TRUE",A1)))</formula>
    </cfRule>
    <cfRule type="containsText" dxfId="761" priority="208" operator="containsText" text="FALSE">
      <formula>NOT(ISERROR(SEARCH("FALSE",A1)))</formula>
    </cfRule>
  </conditionalFormatting>
  <conditionalFormatting sqref="A7:XFD7">
    <cfRule type="containsText" dxfId="760" priority="205" operator="containsText" text="TRUE">
      <formula>NOT(ISERROR(SEARCH("TRUE",A7)))</formula>
    </cfRule>
    <cfRule type="containsText" dxfId="759" priority="206" operator="containsText" text="FALSE">
      <formula>NOT(ISERROR(SEARCH("FALSE",A7)))</formula>
    </cfRule>
  </conditionalFormatting>
  <conditionalFormatting sqref="A8:XFD8">
    <cfRule type="containsText" dxfId="758" priority="203" operator="containsText" text="TRUE">
      <formula>NOT(ISERROR(SEARCH("TRUE",A8)))</formula>
    </cfRule>
    <cfRule type="containsText" dxfId="757" priority="204" operator="containsText" text="FALSE">
      <formula>NOT(ISERROR(SEARCH("FALSE",A8)))</formula>
    </cfRule>
  </conditionalFormatting>
  <conditionalFormatting sqref="A9:XFD9">
    <cfRule type="containsText" dxfId="756" priority="201" operator="containsText" text="TRUE">
      <formula>NOT(ISERROR(SEARCH("TRUE",A9)))</formula>
    </cfRule>
    <cfRule type="containsText" dxfId="755" priority="202" operator="containsText" text="FALSE">
      <formula>NOT(ISERROR(SEARCH("FALSE",A9)))</formula>
    </cfRule>
  </conditionalFormatting>
  <conditionalFormatting sqref="A10:XFD10">
    <cfRule type="containsText" dxfId="754" priority="199" operator="containsText" text="TRUE">
      <formula>NOT(ISERROR(SEARCH("TRUE",A10)))</formula>
    </cfRule>
    <cfRule type="containsText" dxfId="753" priority="200" operator="containsText" text="FALSE">
      <formula>NOT(ISERROR(SEARCH("FALSE",A10)))</formula>
    </cfRule>
  </conditionalFormatting>
  <conditionalFormatting sqref="A11:XFD11">
    <cfRule type="containsText" dxfId="752" priority="197" operator="containsText" text="TRUE">
      <formula>NOT(ISERROR(SEARCH("TRUE",A11)))</formula>
    </cfRule>
    <cfRule type="containsText" dxfId="751" priority="198" operator="containsText" text="FALSE">
      <formula>NOT(ISERROR(SEARCH("FALSE",A11)))</formula>
    </cfRule>
  </conditionalFormatting>
  <conditionalFormatting sqref="A12:XFD12">
    <cfRule type="containsText" dxfId="750" priority="195" operator="containsText" text="TRUE">
      <formula>NOT(ISERROR(SEARCH("TRUE",A12)))</formula>
    </cfRule>
    <cfRule type="containsText" dxfId="749" priority="196" operator="containsText" text="FALSE">
      <formula>NOT(ISERROR(SEARCH("FALSE",A12)))</formula>
    </cfRule>
  </conditionalFormatting>
  <conditionalFormatting sqref="A13:XFD13">
    <cfRule type="containsText" dxfId="748" priority="193" operator="containsText" text="TRUE">
      <formula>NOT(ISERROR(SEARCH("TRUE",A13)))</formula>
    </cfRule>
    <cfRule type="containsText" dxfId="747" priority="194" operator="containsText" text="FALSE">
      <formula>NOT(ISERROR(SEARCH("FALSE",A13)))</formula>
    </cfRule>
  </conditionalFormatting>
  <conditionalFormatting sqref="A14:XFD14">
    <cfRule type="containsText" dxfId="746" priority="191" operator="containsText" text="TRUE">
      <formula>NOT(ISERROR(SEARCH("TRUE",A14)))</formula>
    </cfRule>
    <cfRule type="containsText" dxfId="745" priority="192" operator="containsText" text="FALSE">
      <formula>NOT(ISERROR(SEARCH("FALSE",A14)))</formula>
    </cfRule>
  </conditionalFormatting>
  <conditionalFormatting sqref="A15:XFD15">
    <cfRule type="containsText" dxfId="744" priority="189" operator="containsText" text="TRUE">
      <formula>NOT(ISERROR(SEARCH("TRUE",A15)))</formula>
    </cfRule>
    <cfRule type="containsText" dxfId="743" priority="190" operator="containsText" text="FALSE">
      <formula>NOT(ISERROR(SEARCH("FALSE",A15)))</formula>
    </cfRule>
  </conditionalFormatting>
  <conditionalFormatting sqref="A16:XFD16">
    <cfRule type="containsText" dxfId="742" priority="187" operator="containsText" text="TRUE">
      <formula>NOT(ISERROR(SEARCH("TRUE",A16)))</formula>
    </cfRule>
    <cfRule type="containsText" dxfId="741" priority="188" operator="containsText" text="FALSE">
      <formula>NOT(ISERROR(SEARCH("FALSE",A16)))</formula>
    </cfRule>
  </conditionalFormatting>
  <conditionalFormatting sqref="A17:XFD17">
    <cfRule type="containsText" dxfId="740" priority="185" operator="containsText" text="TRUE">
      <formula>NOT(ISERROR(SEARCH("TRUE",A17)))</formula>
    </cfRule>
    <cfRule type="containsText" dxfId="739" priority="186" operator="containsText" text="FALSE">
      <formula>NOT(ISERROR(SEARCH("FALSE",A17)))</formula>
    </cfRule>
  </conditionalFormatting>
  <conditionalFormatting sqref="A18:XFD18">
    <cfRule type="containsText" dxfId="738" priority="183" operator="containsText" text="TRUE">
      <formula>NOT(ISERROR(SEARCH("TRUE",A18)))</formula>
    </cfRule>
    <cfRule type="containsText" dxfId="737" priority="184" operator="containsText" text="FALSE">
      <formula>NOT(ISERROR(SEARCH("FALSE",A18)))</formula>
    </cfRule>
  </conditionalFormatting>
  <conditionalFormatting sqref="A19:XFD19">
    <cfRule type="containsText" dxfId="736" priority="181" operator="containsText" text="TRUE">
      <formula>NOT(ISERROR(SEARCH("TRUE",A19)))</formula>
    </cfRule>
    <cfRule type="containsText" dxfId="735" priority="182" operator="containsText" text="FALSE">
      <formula>NOT(ISERROR(SEARCH("FALSE",A19)))</formula>
    </cfRule>
  </conditionalFormatting>
  <conditionalFormatting sqref="A20:XFD20">
    <cfRule type="containsText" dxfId="734" priority="179" operator="containsText" text="TRUE">
      <formula>NOT(ISERROR(SEARCH("TRUE",A20)))</formula>
    </cfRule>
    <cfRule type="containsText" dxfId="733" priority="180" operator="containsText" text="FALSE">
      <formula>NOT(ISERROR(SEARCH("FALSE",A20)))</formula>
    </cfRule>
  </conditionalFormatting>
  <conditionalFormatting sqref="A21:XFD21">
    <cfRule type="containsText" dxfId="732" priority="177" operator="containsText" text="TRUE">
      <formula>NOT(ISERROR(SEARCH("TRUE",A21)))</formula>
    </cfRule>
    <cfRule type="containsText" dxfId="731" priority="178" operator="containsText" text="FALSE">
      <formula>NOT(ISERROR(SEARCH("FALSE",A21)))</formula>
    </cfRule>
  </conditionalFormatting>
  <conditionalFormatting sqref="A22:XFD22">
    <cfRule type="containsText" dxfId="730" priority="175" operator="containsText" text="TRUE">
      <formula>NOT(ISERROR(SEARCH("TRUE",A22)))</formula>
    </cfRule>
    <cfRule type="containsText" dxfId="729" priority="176" operator="containsText" text="FALSE">
      <formula>NOT(ISERROR(SEARCH("FALSE",A22)))</formula>
    </cfRule>
  </conditionalFormatting>
  <conditionalFormatting sqref="A23:XFD23">
    <cfRule type="containsText" dxfId="728" priority="173" operator="containsText" text="TRUE">
      <formula>NOT(ISERROR(SEARCH("TRUE",A23)))</formula>
    </cfRule>
    <cfRule type="containsText" dxfId="727" priority="174" operator="containsText" text="FALSE">
      <formula>NOT(ISERROR(SEARCH("FALSE",A23)))</formula>
    </cfRule>
  </conditionalFormatting>
  <conditionalFormatting sqref="A24:XFD24">
    <cfRule type="containsText" dxfId="726" priority="171" operator="containsText" text="TRUE">
      <formula>NOT(ISERROR(SEARCH("TRUE",A24)))</formula>
    </cfRule>
    <cfRule type="containsText" dxfId="725" priority="172" operator="containsText" text="FALSE">
      <formula>NOT(ISERROR(SEARCH("FALSE",A24)))</formula>
    </cfRule>
  </conditionalFormatting>
  <conditionalFormatting sqref="A25:XFD25">
    <cfRule type="containsText" dxfId="724" priority="169" operator="containsText" text="TRUE">
      <formula>NOT(ISERROR(SEARCH("TRUE",A25)))</formula>
    </cfRule>
    <cfRule type="containsText" dxfId="723" priority="170" operator="containsText" text="FALSE">
      <formula>NOT(ISERROR(SEARCH("FALSE",A25)))</formula>
    </cfRule>
  </conditionalFormatting>
  <conditionalFormatting sqref="A26:XFD26">
    <cfRule type="containsText" dxfId="722" priority="167" operator="containsText" text="TRUE">
      <formula>NOT(ISERROR(SEARCH("TRUE",A26)))</formula>
    </cfRule>
    <cfRule type="containsText" dxfId="721" priority="168" operator="containsText" text="FALSE">
      <formula>NOT(ISERROR(SEARCH("FALSE",A26)))</formula>
    </cfRule>
  </conditionalFormatting>
  <conditionalFormatting sqref="A27:XFD27">
    <cfRule type="containsText" dxfId="720" priority="165" operator="containsText" text="TRUE">
      <formula>NOT(ISERROR(SEARCH("TRUE",A27)))</formula>
    </cfRule>
    <cfRule type="containsText" dxfId="719" priority="166" operator="containsText" text="FALSE">
      <formula>NOT(ISERROR(SEARCH("FALSE",A27)))</formula>
    </cfRule>
  </conditionalFormatting>
  <conditionalFormatting sqref="A28:XFD28">
    <cfRule type="containsText" dxfId="718" priority="163" operator="containsText" text="TRUE">
      <formula>NOT(ISERROR(SEARCH("TRUE",A28)))</formula>
    </cfRule>
    <cfRule type="containsText" dxfId="717" priority="164" operator="containsText" text="FALSE">
      <formula>NOT(ISERROR(SEARCH("FALSE",A28)))</formula>
    </cfRule>
  </conditionalFormatting>
  <conditionalFormatting sqref="A29:XFD29">
    <cfRule type="containsText" dxfId="716" priority="161" operator="containsText" text="TRUE">
      <formula>NOT(ISERROR(SEARCH("TRUE",A29)))</formula>
    </cfRule>
    <cfRule type="containsText" dxfId="715" priority="162" operator="containsText" text="FALSE">
      <formula>NOT(ISERROR(SEARCH("FALSE",A29)))</formula>
    </cfRule>
  </conditionalFormatting>
  <conditionalFormatting sqref="A30:XFD30">
    <cfRule type="containsText" dxfId="714" priority="159" operator="containsText" text="TRUE">
      <formula>NOT(ISERROR(SEARCH("TRUE",A30)))</formula>
    </cfRule>
    <cfRule type="containsText" dxfId="713" priority="160" operator="containsText" text="FALSE">
      <formula>NOT(ISERROR(SEARCH("FALSE",A30)))</formula>
    </cfRule>
  </conditionalFormatting>
  <conditionalFormatting sqref="A31:XFD31">
    <cfRule type="containsText" dxfId="712" priority="157" operator="containsText" text="TRUE">
      <formula>NOT(ISERROR(SEARCH("TRUE",A31)))</formula>
    </cfRule>
    <cfRule type="containsText" dxfId="711" priority="158" operator="containsText" text="FALSE">
      <formula>NOT(ISERROR(SEARCH("FALSE",A31)))</formula>
    </cfRule>
  </conditionalFormatting>
  <conditionalFormatting sqref="A32:XFD32">
    <cfRule type="containsText" dxfId="710" priority="155" operator="containsText" text="TRUE">
      <formula>NOT(ISERROR(SEARCH("TRUE",A32)))</formula>
    </cfRule>
    <cfRule type="containsText" dxfId="709" priority="156" operator="containsText" text="FALSE">
      <formula>NOT(ISERROR(SEARCH("FALSE",A32)))</formula>
    </cfRule>
  </conditionalFormatting>
  <conditionalFormatting sqref="A33:XFD33">
    <cfRule type="containsText" dxfId="708" priority="153" operator="containsText" text="TRUE">
      <formula>NOT(ISERROR(SEARCH("TRUE",A33)))</formula>
    </cfRule>
    <cfRule type="containsText" dxfId="707" priority="154" operator="containsText" text="FALSE">
      <formula>NOT(ISERROR(SEARCH("FALSE",A33)))</formula>
    </cfRule>
  </conditionalFormatting>
  <conditionalFormatting sqref="A34:XFD34">
    <cfRule type="containsText" dxfId="706" priority="151" operator="containsText" text="TRUE">
      <formula>NOT(ISERROR(SEARCH("TRUE",A34)))</formula>
    </cfRule>
    <cfRule type="containsText" dxfId="705" priority="152" operator="containsText" text="FALSE">
      <formula>NOT(ISERROR(SEARCH("FALSE",A34)))</formula>
    </cfRule>
  </conditionalFormatting>
  <conditionalFormatting sqref="A35:XFD35">
    <cfRule type="containsText" dxfId="704" priority="149" operator="containsText" text="TRUE">
      <formula>NOT(ISERROR(SEARCH("TRUE",A35)))</formula>
    </cfRule>
    <cfRule type="containsText" dxfId="703" priority="150" operator="containsText" text="FALSE">
      <formula>NOT(ISERROR(SEARCH("FALSE",A35)))</formula>
    </cfRule>
  </conditionalFormatting>
  <conditionalFormatting sqref="A36:XFD36">
    <cfRule type="containsText" dxfId="702" priority="147" operator="containsText" text="TRUE">
      <formula>NOT(ISERROR(SEARCH("TRUE",A36)))</formula>
    </cfRule>
    <cfRule type="containsText" dxfId="701" priority="148" operator="containsText" text="FALSE">
      <formula>NOT(ISERROR(SEARCH("FALSE",A36)))</formula>
    </cfRule>
  </conditionalFormatting>
  <conditionalFormatting sqref="A37:XFD37">
    <cfRule type="containsText" dxfId="700" priority="145" operator="containsText" text="TRUE">
      <formula>NOT(ISERROR(SEARCH("TRUE",A37)))</formula>
    </cfRule>
    <cfRule type="containsText" dxfId="699" priority="146" operator="containsText" text="FALSE">
      <formula>NOT(ISERROR(SEARCH("FALSE",A37)))</formula>
    </cfRule>
  </conditionalFormatting>
  <conditionalFormatting sqref="A38:XFD38">
    <cfRule type="containsText" dxfId="698" priority="143" operator="containsText" text="TRUE">
      <formula>NOT(ISERROR(SEARCH("TRUE",A38)))</formula>
    </cfRule>
    <cfRule type="containsText" dxfId="697" priority="144" operator="containsText" text="FALSE">
      <formula>NOT(ISERROR(SEARCH("FALSE",A38)))</formula>
    </cfRule>
  </conditionalFormatting>
  <conditionalFormatting sqref="A39:XFD39">
    <cfRule type="containsText" dxfId="696" priority="141" operator="containsText" text="TRUE">
      <formula>NOT(ISERROR(SEARCH("TRUE",A39)))</formula>
    </cfRule>
    <cfRule type="containsText" dxfId="695" priority="142" operator="containsText" text="FALSE">
      <formula>NOT(ISERROR(SEARCH("FALSE",A39)))</formula>
    </cfRule>
  </conditionalFormatting>
  <conditionalFormatting sqref="A40:XFD40">
    <cfRule type="containsText" dxfId="694" priority="139" operator="containsText" text="TRUE">
      <formula>NOT(ISERROR(SEARCH("TRUE",A40)))</formula>
    </cfRule>
    <cfRule type="containsText" dxfId="693" priority="140" operator="containsText" text="FALSE">
      <formula>NOT(ISERROR(SEARCH("FALSE",A40)))</formula>
    </cfRule>
  </conditionalFormatting>
  <conditionalFormatting sqref="A41:XFD41">
    <cfRule type="containsText" dxfId="692" priority="137" operator="containsText" text="TRUE">
      <formula>NOT(ISERROR(SEARCH("TRUE",A41)))</formula>
    </cfRule>
    <cfRule type="containsText" dxfId="691" priority="138" operator="containsText" text="FALSE">
      <formula>NOT(ISERROR(SEARCH("FALSE",A41)))</formula>
    </cfRule>
  </conditionalFormatting>
  <conditionalFormatting sqref="A42:XFD42">
    <cfRule type="containsText" dxfId="690" priority="135" operator="containsText" text="TRUE">
      <formula>NOT(ISERROR(SEARCH("TRUE",A42)))</formula>
    </cfRule>
    <cfRule type="containsText" dxfId="689" priority="136" operator="containsText" text="FALSE">
      <formula>NOT(ISERROR(SEARCH("FALSE",A42)))</formula>
    </cfRule>
  </conditionalFormatting>
  <conditionalFormatting sqref="A43:XFD43">
    <cfRule type="containsText" dxfId="688" priority="133" operator="containsText" text="TRUE">
      <formula>NOT(ISERROR(SEARCH("TRUE",A43)))</formula>
    </cfRule>
    <cfRule type="containsText" dxfId="687" priority="134" operator="containsText" text="FALSE">
      <formula>NOT(ISERROR(SEARCH("FALSE",A43)))</formula>
    </cfRule>
  </conditionalFormatting>
  <conditionalFormatting sqref="A44:XFD44">
    <cfRule type="containsText" dxfId="686" priority="131" operator="containsText" text="TRUE">
      <formula>NOT(ISERROR(SEARCH("TRUE",A44)))</formula>
    </cfRule>
    <cfRule type="containsText" dxfId="685" priority="132" operator="containsText" text="FALSE">
      <formula>NOT(ISERROR(SEARCH("FALSE",A44)))</formula>
    </cfRule>
  </conditionalFormatting>
  <conditionalFormatting sqref="A45:XFD45">
    <cfRule type="containsText" dxfId="684" priority="129" operator="containsText" text="TRUE">
      <formula>NOT(ISERROR(SEARCH("TRUE",A45)))</formula>
    </cfRule>
    <cfRule type="containsText" dxfId="683" priority="130" operator="containsText" text="FALSE">
      <formula>NOT(ISERROR(SEARCH("FALSE",A45)))</formula>
    </cfRule>
  </conditionalFormatting>
  <conditionalFormatting sqref="A46:XFD46">
    <cfRule type="containsText" dxfId="682" priority="127" operator="containsText" text="TRUE">
      <formula>NOT(ISERROR(SEARCH("TRUE",A46)))</formula>
    </cfRule>
    <cfRule type="containsText" dxfId="681" priority="128" operator="containsText" text="FALSE">
      <formula>NOT(ISERROR(SEARCH("FALSE",A46)))</formula>
    </cfRule>
  </conditionalFormatting>
  <conditionalFormatting sqref="A47:XFD47">
    <cfRule type="containsText" dxfId="680" priority="125" operator="containsText" text="TRUE">
      <formula>NOT(ISERROR(SEARCH("TRUE",A47)))</formula>
    </cfRule>
    <cfRule type="containsText" dxfId="679" priority="126" operator="containsText" text="FALSE">
      <formula>NOT(ISERROR(SEARCH("FALSE",A47)))</formula>
    </cfRule>
  </conditionalFormatting>
  <conditionalFormatting sqref="A48:XFD48">
    <cfRule type="containsText" dxfId="678" priority="123" operator="containsText" text="TRUE">
      <formula>NOT(ISERROR(SEARCH("TRUE",A48)))</formula>
    </cfRule>
    <cfRule type="containsText" dxfId="677" priority="124" operator="containsText" text="FALSE">
      <formula>NOT(ISERROR(SEARCH("FALSE",A48)))</formula>
    </cfRule>
  </conditionalFormatting>
  <conditionalFormatting sqref="A49:XFD49">
    <cfRule type="containsText" dxfId="676" priority="121" operator="containsText" text="TRUE">
      <formula>NOT(ISERROR(SEARCH("TRUE",A49)))</formula>
    </cfRule>
    <cfRule type="containsText" dxfId="675" priority="122" operator="containsText" text="FALSE">
      <formula>NOT(ISERROR(SEARCH("FALSE",A49)))</formula>
    </cfRule>
  </conditionalFormatting>
  <conditionalFormatting sqref="A50:XFD50">
    <cfRule type="containsText" dxfId="674" priority="119" operator="containsText" text="TRUE">
      <formula>NOT(ISERROR(SEARCH("TRUE",A50)))</formula>
    </cfRule>
    <cfRule type="containsText" dxfId="673" priority="120" operator="containsText" text="FALSE">
      <formula>NOT(ISERROR(SEARCH("FALSE",A50)))</formula>
    </cfRule>
  </conditionalFormatting>
  <conditionalFormatting sqref="A51:XFD51">
    <cfRule type="containsText" dxfId="672" priority="117" operator="containsText" text="TRUE">
      <formula>NOT(ISERROR(SEARCH("TRUE",A51)))</formula>
    </cfRule>
    <cfRule type="containsText" dxfId="671" priority="118" operator="containsText" text="FALSE">
      <formula>NOT(ISERROR(SEARCH("FALSE",A51)))</formula>
    </cfRule>
  </conditionalFormatting>
  <conditionalFormatting sqref="A52:XFD52">
    <cfRule type="containsText" dxfId="670" priority="115" operator="containsText" text="TRUE">
      <formula>NOT(ISERROR(SEARCH("TRUE",A52)))</formula>
    </cfRule>
    <cfRule type="containsText" dxfId="669" priority="116" operator="containsText" text="FALSE">
      <formula>NOT(ISERROR(SEARCH("FALSE",A52)))</formula>
    </cfRule>
  </conditionalFormatting>
  <conditionalFormatting sqref="A53:XFD53">
    <cfRule type="containsText" dxfId="668" priority="113" operator="containsText" text="TRUE">
      <formula>NOT(ISERROR(SEARCH("TRUE",A53)))</formula>
    </cfRule>
    <cfRule type="containsText" dxfId="667" priority="114" operator="containsText" text="FALSE">
      <formula>NOT(ISERROR(SEARCH("FALSE",A53)))</formula>
    </cfRule>
  </conditionalFormatting>
  <conditionalFormatting sqref="A54:XFD54">
    <cfRule type="containsText" dxfId="666" priority="111" operator="containsText" text="TRUE">
      <formula>NOT(ISERROR(SEARCH("TRUE",A54)))</formula>
    </cfRule>
    <cfRule type="containsText" dxfId="665" priority="112" operator="containsText" text="FALSE">
      <formula>NOT(ISERROR(SEARCH("FALSE",A54)))</formula>
    </cfRule>
  </conditionalFormatting>
  <conditionalFormatting sqref="A55:XFD55">
    <cfRule type="containsText" dxfId="664" priority="109" operator="containsText" text="TRUE">
      <formula>NOT(ISERROR(SEARCH("TRUE",A55)))</formula>
    </cfRule>
    <cfRule type="containsText" dxfId="663" priority="110" operator="containsText" text="FALSE">
      <formula>NOT(ISERROR(SEARCH("FALSE",A55)))</formula>
    </cfRule>
  </conditionalFormatting>
  <conditionalFormatting sqref="A56:XFD56">
    <cfRule type="containsText" dxfId="662" priority="107" operator="containsText" text="TRUE">
      <formula>NOT(ISERROR(SEARCH("TRUE",A56)))</formula>
    </cfRule>
    <cfRule type="containsText" dxfId="661" priority="108" operator="containsText" text="FALSE">
      <formula>NOT(ISERROR(SEARCH("FALSE",A56)))</formula>
    </cfRule>
  </conditionalFormatting>
  <conditionalFormatting sqref="A57:XFD57">
    <cfRule type="containsText" dxfId="660" priority="105" operator="containsText" text="TRUE">
      <formula>NOT(ISERROR(SEARCH("TRUE",A57)))</formula>
    </cfRule>
    <cfRule type="containsText" dxfId="659" priority="106" operator="containsText" text="FALSE">
      <formula>NOT(ISERROR(SEARCH("FALSE",A57)))</formula>
    </cfRule>
  </conditionalFormatting>
  <conditionalFormatting sqref="A58:XFD58">
    <cfRule type="containsText" dxfId="658" priority="103" operator="containsText" text="TRUE">
      <formula>NOT(ISERROR(SEARCH("TRUE",A58)))</formula>
    </cfRule>
    <cfRule type="containsText" dxfId="657" priority="104" operator="containsText" text="FALSE">
      <formula>NOT(ISERROR(SEARCH("FALSE",A58)))</formula>
    </cfRule>
  </conditionalFormatting>
  <conditionalFormatting sqref="A59:XFD59">
    <cfRule type="containsText" dxfId="656" priority="101" operator="containsText" text="TRUE">
      <formula>NOT(ISERROR(SEARCH("TRUE",A59)))</formula>
    </cfRule>
    <cfRule type="containsText" dxfId="655" priority="102" operator="containsText" text="FALSE">
      <formula>NOT(ISERROR(SEARCH("FALSE",A59)))</formula>
    </cfRule>
  </conditionalFormatting>
  <conditionalFormatting sqref="A60:XFD60">
    <cfRule type="containsText" dxfId="654" priority="99" operator="containsText" text="TRUE">
      <formula>NOT(ISERROR(SEARCH("TRUE",A60)))</formula>
    </cfRule>
    <cfRule type="containsText" dxfId="653" priority="100" operator="containsText" text="FALSE">
      <formula>NOT(ISERROR(SEARCH("FALSE",A60)))</formula>
    </cfRule>
  </conditionalFormatting>
  <conditionalFormatting sqref="A61:XFD61">
    <cfRule type="containsText" dxfId="652" priority="97" operator="containsText" text="TRUE">
      <formula>NOT(ISERROR(SEARCH("TRUE",A61)))</formula>
    </cfRule>
    <cfRule type="containsText" dxfId="651" priority="98" operator="containsText" text="FALSE">
      <formula>NOT(ISERROR(SEARCH("FALSE",A61)))</formula>
    </cfRule>
  </conditionalFormatting>
  <conditionalFormatting sqref="A62:XFD62">
    <cfRule type="containsText" dxfId="650" priority="95" operator="containsText" text="TRUE">
      <formula>NOT(ISERROR(SEARCH("TRUE",A62)))</formula>
    </cfRule>
    <cfRule type="containsText" dxfId="649" priority="96" operator="containsText" text="FALSE">
      <formula>NOT(ISERROR(SEARCH("FALSE",A62)))</formula>
    </cfRule>
  </conditionalFormatting>
  <conditionalFormatting sqref="A63:XFD63">
    <cfRule type="containsText" dxfId="648" priority="93" operator="containsText" text="TRUE">
      <formula>NOT(ISERROR(SEARCH("TRUE",A63)))</formula>
    </cfRule>
    <cfRule type="containsText" dxfId="647" priority="94" operator="containsText" text="FALSE">
      <formula>NOT(ISERROR(SEARCH("FALSE",A63)))</formula>
    </cfRule>
  </conditionalFormatting>
  <conditionalFormatting sqref="A64:XFD64">
    <cfRule type="containsText" dxfId="646" priority="91" operator="containsText" text="TRUE">
      <formula>NOT(ISERROR(SEARCH("TRUE",A64)))</formula>
    </cfRule>
    <cfRule type="containsText" dxfId="645" priority="92" operator="containsText" text="FALSE">
      <formula>NOT(ISERROR(SEARCH("FALSE",A64)))</formula>
    </cfRule>
  </conditionalFormatting>
  <conditionalFormatting sqref="A65:XFD65">
    <cfRule type="containsText" dxfId="644" priority="89" operator="containsText" text="TRUE">
      <formula>NOT(ISERROR(SEARCH("TRUE",A65)))</formula>
    </cfRule>
    <cfRule type="containsText" dxfId="643" priority="90" operator="containsText" text="FALSE">
      <formula>NOT(ISERROR(SEARCH("FALSE",A65)))</formula>
    </cfRule>
  </conditionalFormatting>
  <conditionalFormatting sqref="A66:XFD66">
    <cfRule type="containsText" dxfId="642" priority="87" operator="containsText" text="TRUE">
      <formula>NOT(ISERROR(SEARCH("TRUE",A66)))</formula>
    </cfRule>
    <cfRule type="containsText" dxfId="641" priority="88" operator="containsText" text="FALSE">
      <formula>NOT(ISERROR(SEARCH("FALSE",A66)))</formula>
    </cfRule>
  </conditionalFormatting>
  <conditionalFormatting sqref="A67:XFD67">
    <cfRule type="containsText" dxfId="640" priority="85" operator="containsText" text="TRUE">
      <formula>NOT(ISERROR(SEARCH("TRUE",A67)))</formula>
    </cfRule>
    <cfRule type="containsText" dxfId="639" priority="86" operator="containsText" text="FALSE">
      <formula>NOT(ISERROR(SEARCH("FALSE",A67)))</formula>
    </cfRule>
  </conditionalFormatting>
  <conditionalFormatting sqref="A68:XFD68">
    <cfRule type="containsText" dxfId="638" priority="83" operator="containsText" text="TRUE">
      <formula>NOT(ISERROR(SEARCH("TRUE",A68)))</formula>
    </cfRule>
    <cfRule type="containsText" dxfId="637" priority="84" operator="containsText" text="FALSE">
      <formula>NOT(ISERROR(SEARCH("FALSE",A68)))</formula>
    </cfRule>
  </conditionalFormatting>
  <conditionalFormatting sqref="A69:XFD69">
    <cfRule type="containsText" dxfId="636" priority="81" operator="containsText" text="TRUE">
      <formula>NOT(ISERROR(SEARCH("TRUE",A69)))</formula>
    </cfRule>
    <cfRule type="containsText" dxfId="635" priority="82" operator="containsText" text="FALSE">
      <formula>NOT(ISERROR(SEARCH("FALSE",A69)))</formula>
    </cfRule>
  </conditionalFormatting>
  <conditionalFormatting sqref="A70:XFD70">
    <cfRule type="containsText" dxfId="634" priority="79" operator="containsText" text="TRUE">
      <formula>NOT(ISERROR(SEARCH("TRUE",A70)))</formula>
    </cfRule>
    <cfRule type="containsText" dxfId="633" priority="80" operator="containsText" text="FALSE">
      <formula>NOT(ISERROR(SEARCH("FALSE",A70)))</formula>
    </cfRule>
  </conditionalFormatting>
  <conditionalFormatting sqref="A71:XFD71">
    <cfRule type="containsText" dxfId="632" priority="77" operator="containsText" text="TRUE">
      <formula>NOT(ISERROR(SEARCH("TRUE",A71)))</formula>
    </cfRule>
    <cfRule type="containsText" dxfId="631" priority="78" operator="containsText" text="FALSE">
      <formula>NOT(ISERROR(SEARCH("FALSE",A71)))</formula>
    </cfRule>
  </conditionalFormatting>
  <conditionalFormatting sqref="A72:XFD72">
    <cfRule type="containsText" dxfId="630" priority="75" operator="containsText" text="TRUE">
      <formula>NOT(ISERROR(SEARCH("TRUE",A72)))</formula>
    </cfRule>
    <cfRule type="containsText" dxfId="629" priority="76" operator="containsText" text="FALSE">
      <formula>NOT(ISERROR(SEARCH("FALSE",A72)))</formula>
    </cfRule>
  </conditionalFormatting>
  <conditionalFormatting sqref="A73:XFD73">
    <cfRule type="containsText" dxfId="628" priority="73" operator="containsText" text="TRUE">
      <formula>NOT(ISERROR(SEARCH("TRUE",A73)))</formula>
    </cfRule>
    <cfRule type="containsText" dxfId="627" priority="74" operator="containsText" text="FALSE">
      <formula>NOT(ISERROR(SEARCH("FALSE",A73)))</formula>
    </cfRule>
  </conditionalFormatting>
  <conditionalFormatting sqref="A74:XFD74">
    <cfRule type="containsText" dxfId="626" priority="71" operator="containsText" text="TRUE">
      <formula>NOT(ISERROR(SEARCH("TRUE",A74)))</formula>
    </cfRule>
    <cfRule type="containsText" dxfId="625" priority="72" operator="containsText" text="FALSE">
      <formula>NOT(ISERROR(SEARCH("FALSE",A74)))</formula>
    </cfRule>
  </conditionalFormatting>
  <conditionalFormatting sqref="A75:XFD75">
    <cfRule type="containsText" dxfId="624" priority="69" operator="containsText" text="TRUE">
      <formula>NOT(ISERROR(SEARCH("TRUE",A75)))</formula>
    </cfRule>
    <cfRule type="containsText" dxfId="623" priority="70" operator="containsText" text="FALSE">
      <formula>NOT(ISERROR(SEARCH("FALSE",A75)))</formula>
    </cfRule>
  </conditionalFormatting>
  <conditionalFormatting sqref="A76:XFD76">
    <cfRule type="containsText" dxfId="622" priority="67" operator="containsText" text="TRUE">
      <formula>NOT(ISERROR(SEARCH("TRUE",A76)))</formula>
    </cfRule>
    <cfRule type="containsText" dxfId="621" priority="68" operator="containsText" text="FALSE">
      <formula>NOT(ISERROR(SEARCH("FALSE",A76)))</formula>
    </cfRule>
  </conditionalFormatting>
  <conditionalFormatting sqref="A77:XFD77">
    <cfRule type="containsText" dxfId="620" priority="65" operator="containsText" text="TRUE">
      <formula>NOT(ISERROR(SEARCH("TRUE",A77)))</formula>
    </cfRule>
    <cfRule type="containsText" dxfId="619" priority="66" operator="containsText" text="FALSE">
      <formula>NOT(ISERROR(SEARCH("FALSE",A77)))</formula>
    </cfRule>
  </conditionalFormatting>
  <conditionalFormatting sqref="A78:XFD78">
    <cfRule type="containsText" dxfId="618" priority="63" operator="containsText" text="TRUE">
      <formula>NOT(ISERROR(SEARCH("TRUE",A78)))</formula>
    </cfRule>
    <cfRule type="containsText" dxfId="617" priority="64" operator="containsText" text="FALSE">
      <formula>NOT(ISERROR(SEARCH("FALSE",A78)))</formula>
    </cfRule>
  </conditionalFormatting>
  <conditionalFormatting sqref="A79:XFD79">
    <cfRule type="containsText" dxfId="616" priority="61" operator="containsText" text="TRUE">
      <formula>NOT(ISERROR(SEARCH("TRUE",A79)))</formula>
    </cfRule>
    <cfRule type="containsText" dxfId="615" priority="62" operator="containsText" text="FALSE">
      <formula>NOT(ISERROR(SEARCH("FALSE",A79)))</formula>
    </cfRule>
  </conditionalFormatting>
  <conditionalFormatting sqref="A80:XFD80">
    <cfRule type="containsText" dxfId="614" priority="59" operator="containsText" text="TRUE">
      <formula>NOT(ISERROR(SEARCH("TRUE",A80)))</formula>
    </cfRule>
    <cfRule type="containsText" dxfId="613" priority="60" operator="containsText" text="FALSE">
      <formula>NOT(ISERROR(SEARCH("FALSE",A80)))</formula>
    </cfRule>
  </conditionalFormatting>
  <conditionalFormatting sqref="A81:XFD81">
    <cfRule type="containsText" dxfId="612" priority="57" operator="containsText" text="TRUE">
      <formula>NOT(ISERROR(SEARCH("TRUE",A81)))</formula>
    </cfRule>
    <cfRule type="containsText" dxfId="611" priority="58" operator="containsText" text="FALSE">
      <formula>NOT(ISERROR(SEARCH("FALSE",A81)))</formula>
    </cfRule>
  </conditionalFormatting>
  <conditionalFormatting sqref="A82:XFD82">
    <cfRule type="containsText" dxfId="610" priority="55" operator="containsText" text="TRUE">
      <formula>NOT(ISERROR(SEARCH("TRUE",A82)))</formula>
    </cfRule>
    <cfRule type="containsText" dxfId="609" priority="56" operator="containsText" text="FALSE">
      <formula>NOT(ISERROR(SEARCH("FALSE",A82)))</formula>
    </cfRule>
  </conditionalFormatting>
  <conditionalFormatting sqref="A83:XFD83">
    <cfRule type="containsText" dxfId="608" priority="53" operator="containsText" text="TRUE">
      <formula>NOT(ISERROR(SEARCH("TRUE",A83)))</formula>
    </cfRule>
    <cfRule type="containsText" dxfId="607" priority="54" operator="containsText" text="FALSE">
      <formula>NOT(ISERROR(SEARCH("FALSE",A83)))</formula>
    </cfRule>
  </conditionalFormatting>
  <conditionalFormatting sqref="A84:XFD84">
    <cfRule type="containsText" dxfId="606" priority="51" operator="containsText" text="TRUE">
      <formula>NOT(ISERROR(SEARCH("TRUE",A84)))</formula>
    </cfRule>
    <cfRule type="containsText" dxfId="605" priority="52" operator="containsText" text="FALSE">
      <formula>NOT(ISERROR(SEARCH("FALSE",A84)))</formula>
    </cfRule>
  </conditionalFormatting>
  <conditionalFormatting sqref="A85:XFD85">
    <cfRule type="containsText" dxfId="604" priority="49" operator="containsText" text="TRUE">
      <formula>NOT(ISERROR(SEARCH("TRUE",A85)))</formula>
    </cfRule>
    <cfRule type="containsText" dxfId="603" priority="50" operator="containsText" text="FALSE">
      <formula>NOT(ISERROR(SEARCH("FALSE",A85)))</formula>
    </cfRule>
  </conditionalFormatting>
  <conditionalFormatting sqref="A86:XFD86">
    <cfRule type="containsText" dxfId="602" priority="47" operator="containsText" text="TRUE">
      <formula>NOT(ISERROR(SEARCH("TRUE",A86)))</formula>
    </cfRule>
    <cfRule type="containsText" dxfId="601" priority="48" operator="containsText" text="FALSE">
      <formula>NOT(ISERROR(SEARCH("FALSE",A86)))</formula>
    </cfRule>
  </conditionalFormatting>
  <conditionalFormatting sqref="A87:XFD87">
    <cfRule type="containsText" dxfId="600" priority="45" operator="containsText" text="TRUE">
      <formula>NOT(ISERROR(SEARCH("TRUE",A87)))</formula>
    </cfRule>
    <cfRule type="containsText" dxfId="599" priority="46" operator="containsText" text="FALSE">
      <formula>NOT(ISERROR(SEARCH("FALSE",A87)))</formula>
    </cfRule>
  </conditionalFormatting>
  <conditionalFormatting sqref="A88:XFD88">
    <cfRule type="containsText" dxfId="598" priority="43" operator="containsText" text="TRUE">
      <formula>NOT(ISERROR(SEARCH("TRUE",A88)))</formula>
    </cfRule>
    <cfRule type="containsText" dxfId="597" priority="44" operator="containsText" text="FALSE">
      <formula>NOT(ISERROR(SEARCH("FALSE",A88)))</formula>
    </cfRule>
  </conditionalFormatting>
  <conditionalFormatting sqref="A89:XFD89">
    <cfRule type="containsText" dxfId="596" priority="41" operator="containsText" text="TRUE">
      <formula>NOT(ISERROR(SEARCH("TRUE",A89)))</formula>
    </cfRule>
    <cfRule type="containsText" dxfId="595" priority="42" operator="containsText" text="FALSE">
      <formula>NOT(ISERROR(SEARCH("FALSE",A89)))</formula>
    </cfRule>
  </conditionalFormatting>
  <conditionalFormatting sqref="A90:XFD90">
    <cfRule type="containsText" dxfId="594" priority="39" operator="containsText" text="TRUE">
      <formula>NOT(ISERROR(SEARCH("TRUE",A90)))</formula>
    </cfRule>
    <cfRule type="containsText" dxfId="593" priority="40" operator="containsText" text="FALSE">
      <formula>NOT(ISERROR(SEARCH("FALSE",A90)))</formula>
    </cfRule>
  </conditionalFormatting>
  <conditionalFormatting sqref="A91:XFD91">
    <cfRule type="containsText" dxfId="592" priority="37" operator="containsText" text="TRUE">
      <formula>NOT(ISERROR(SEARCH("TRUE",A91)))</formula>
    </cfRule>
    <cfRule type="containsText" dxfId="591" priority="38" operator="containsText" text="FALSE">
      <formula>NOT(ISERROR(SEARCH("FALSE",A91)))</formula>
    </cfRule>
  </conditionalFormatting>
  <conditionalFormatting sqref="A92:XFD92">
    <cfRule type="containsText" dxfId="590" priority="35" operator="containsText" text="TRUE">
      <formula>NOT(ISERROR(SEARCH("TRUE",A92)))</formula>
    </cfRule>
    <cfRule type="containsText" dxfId="589" priority="36" operator="containsText" text="FALSE">
      <formula>NOT(ISERROR(SEARCH("FALSE",A92)))</formula>
    </cfRule>
  </conditionalFormatting>
  <conditionalFormatting sqref="A93:XFD93">
    <cfRule type="containsText" dxfId="588" priority="33" operator="containsText" text="TRUE">
      <formula>NOT(ISERROR(SEARCH("TRUE",A93)))</formula>
    </cfRule>
    <cfRule type="containsText" dxfId="587" priority="34" operator="containsText" text="FALSE">
      <formula>NOT(ISERROR(SEARCH("FALSE",A93)))</formula>
    </cfRule>
  </conditionalFormatting>
  <conditionalFormatting sqref="A94:XFD94">
    <cfRule type="containsText" dxfId="586" priority="31" operator="containsText" text="TRUE">
      <formula>NOT(ISERROR(SEARCH("TRUE",A94)))</formula>
    </cfRule>
    <cfRule type="containsText" dxfId="585" priority="32" operator="containsText" text="FALSE">
      <formula>NOT(ISERROR(SEARCH("FALSE",A94)))</formula>
    </cfRule>
  </conditionalFormatting>
  <conditionalFormatting sqref="A95:XFD95">
    <cfRule type="containsText" dxfId="584" priority="29" operator="containsText" text="TRUE">
      <formula>NOT(ISERROR(SEARCH("TRUE",A95)))</formula>
    </cfRule>
    <cfRule type="containsText" dxfId="583" priority="30" operator="containsText" text="FALSE">
      <formula>NOT(ISERROR(SEARCH("FALSE",A95)))</formula>
    </cfRule>
  </conditionalFormatting>
  <conditionalFormatting sqref="A96:XFD96">
    <cfRule type="containsText" dxfId="582" priority="27" operator="containsText" text="TRUE">
      <formula>NOT(ISERROR(SEARCH("TRUE",A96)))</formula>
    </cfRule>
    <cfRule type="containsText" dxfId="581" priority="28" operator="containsText" text="FALSE">
      <formula>NOT(ISERROR(SEARCH("FALSE",A96)))</formula>
    </cfRule>
  </conditionalFormatting>
  <conditionalFormatting sqref="A97:XFD97">
    <cfRule type="containsText" dxfId="580" priority="25" operator="containsText" text="TRUE">
      <formula>NOT(ISERROR(SEARCH("TRUE",A97)))</formula>
    </cfRule>
    <cfRule type="containsText" dxfId="579" priority="26" operator="containsText" text="FALSE">
      <formula>NOT(ISERROR(SEARCH("FALSE",A97)))</formula>
    </cfRule>
  </conditionalFormatting>
  <conditionalFormatting sqref="A98:XFD98">
    <cfRule type="containsText" dxfId="578" priority="23" operator="containsText" text="TRUE">
      <formula>NOT(ISERROR(SEARCH("TRUE",A98)))</formula>
    </cfRule>
    <cfRule type="containsText" dxfId="577" priority="24" operator="containsText" text="FALSE">
      <formula>NOT(ISERROR(SEARCH("FALSE",A98)))</formula>
    </cfRule>
  </conditionalFormatting>
  <conditionalFormatting sqref="A99:XFD99">
    <cfRule type="containsText" dxfId="576" priority="21" operator="containsText" text="TRUE">
      <formula>NOT(ISERROR(SEARCH("TRUE",A99)))</formula>
    </cfRule>
    <cfRule type="containsText" dxfId="575" priority="22" operator="containsText" text="FALSE">
      <formula>NOT(ISERROR(SEARCH("FALSE",A99)))</formula>
    </cfRule>
  </conditionalFormatting>
  <conditionalFormatting sqref="A100:XFD100">
    <cfRule type="containsText" dxfId="574" priority="19" operator="containsText" text="TRUE">
      <formula>NOT(ISERROR(SEARCH("TRUE",A100)))</formula>
    </cfRule>
    <cfRule type="containsText" dxfId="573" priority="20" operator="containsText" text="FALSE">
      <formula>NOT(ISERROR(SEARCH("FALSE",A100)))</formula>
    </cfRule>
  </conditionalFormatting>
  <conditionalFormatting sqref="A101:XFD101">
    <cfRule type="containsText" dxfId="572" priority="17" operator="containsText" text="TRUE">
      <formula>NOT(ISERROR(SEARCH("TRUE",A101)))</formula>
    </cfRule>
    <cfRule type="containsText" dxfId="571" priority="18" operator="containsText" text="FALSE">
      <formula>NOT(ISERROR(SEARCH("FALSE",A101)))</formula>
    </cfRule>
  </conditionalFormatting>
  <conditionalFormatting sqref="A102:XFD102">
    <cfRule type="containsText" dxfId="570" priority="15" operator="containsText" text="TRUE">
      <formula>NOT(ISERROR(SEARCH("TRUE",A102)))</formula>
    </cfRule>
    <cfRule type="containsText" dxfId="569" priority="16" operator="containsText" text="FALSE">
      <formula>NOT(ISERROR(SEARCH("FALSE",A102)))</formula>
    </cfRule>
  </conditionalFormatting>
  <conditionalFormatting sqref="A103:XFD103">
    <cfRule type="containsText" dxfId="568" priority="13" operator="containsText" text="TRUE">
      <formula>NOT(ISERROR(SEARCH("TRUE",A103)))</formula>
    </cfRule>
    <cfRule type="containsText" dxfId="567" priority="14" operator="containsText" text="FALSE">
      <formula>NOT(ISERROR(SEARCH("FALSE",A103)))</formula>
    </cfRule>
  </conditionalFormatting>
  <conditionalFormatting sqref="A104:XFD104">
    <cfRule type="containsText" dxfId="566" priority="11" operator="containsText" text="TRUE">
      <formula>NOT(ISERROR(SEARCH("TRUE",A104)))</formula>
    </cfRule>
    <cfRule type="containsText" dxfId="565" priority="12" operator="containsText" text="FALSE">
      <formula>NOT(ISERROR(SEARCH("FALSE",A104)))</formula>
    </cfRule>
  </conditionalFormatting>
  <conditionalFormatting sqref="A105:XFD105">
    <cfRule type="containsText" dxfId="564" priority="9" operator="containsText" text="TRUE">
      <formula>NOT(ISERROR(SEARCH("TRUE",A105)))</formula>
    </cfRule>
    <cfRule type="containsText" dxfId="563" priority="10" operator="containsText" text="FALSE">
      <formula>NOT(ISERROR(SEARCH("FALSE",A105)))</formula>
    </cfRule>
  </conditionalFormatting>
  <conditionalFormatting sqref="A106:XFD106">
    <cfRule type="containsText" dxfId="562" priority="7" operator="containsText" text="TRUE">
      <formula>NOT(ISERROR(SEARCH("TRUE",A106)))</formula>
    </cfRule>
    <cfRule type="containsText" dxfId="561" priority="8" operator="containsText" text="FALSE">
      <formula>NOT(ISERROR(SEARCH("FALSE",A106)))</formula>
    </cfRule>
  </conditionalFormatting>
  <conditionalFormatting sqref="A107:XFD107">
    <cfRule type="containsText" dxfId="560" priority="5" operator="containsText" text="TRUE">
      <formula>NOT(ISERROR(SEARCH("TRUE",A107)))</formula>
    </cfRule>
    <cfRule type="containsText" dxfId="559" priority="6" operator="containsText" text="FALSE">
      <formula>NOT(ISERROR(SEARCH("FALSE",A107)))</formula>
    </cfRule>
  </conditionalFormatting>
  <conditionalFormatting sqref="A108:XFD108">
    <cfRule type="containsText" dxfId="558" priority="3" operator="containsText" text="TRUE">
      <formula>NOT(ISERROR(SEARCH("TRUE",A108)))</formula>
    </cfRule>
    <cfRule type="containsText" dxfId="557" priority="4" operator="containsText" text="FALSE">
      <formula>NOT(ISERROR(SEARCH("FALSE",A108)))</formula>
    </cfRule>
  </conditionalFormatting>
  <conditionalFormatting sqref="A109:XFD109">
    <cfRule type="containsText" dxfId="556" priority="1" operator="containsText" text="TRUE">
      <formula>NOT(ISERROR(SEARCH("TRUE",A109)))</formula>
    </cfRule>
    <cfRule type="containsText" dxfId="555" priority="2" operator="containsText" text="FALSE">
      <formula>NOT(ISERROR(SEARCH("FALSE",A109)))</formula>
    </cfRule>
  </conditionalFormatting>
  <pageMargins left="0.7" right="0.7" top="0.75" bottom="0.75" header="0.3" footer="0.3"/>
  <pageSetup paperSize="9" scale="61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127-AEA5-4B34-AA93-DE4AD794769F}">
  <sheetPr>
    <tabColor theme="6" tint="0.39997558519241921"/>
  </sheetPr>
  <dimension ref="A1:M83"/>
  <sheetViews>
    <sheetView zoomScale="85" zoomScaleNormal="85" workbookViewId="0">
      <selection activeCell="C22" sqref="C22"/>
    </sheetView>
  </sheetViews>
  <sheetFormatPr defaultColWidth="9" defaultRowHeight="16.5"/>
  <cols>
    <col min="1" max="1" width="27.625" style="107" bestFit="1" customWidth="1"/>
    <col min="2" max="3" width="13.375" style="107" customWidth="1"/>
    <col min="4" max="4" width="14.25" style="107" bestFit="1" customWidth="1"/>
    <col min="5" max="6" width="14.25" style="107" customWidth="1"/>
    <col min="7" max="7" width="1.75" style="107" customWidth="1"/>
    <col min="8" max="8" width="12.375" style="107" bestFit="1" customWidth="1"/>
    <col min="9" max="9" width="1.75" style="107" customWidth="1"/>
    <col min="10" max="10" width="13.875" style="107" bestFit="1" customWidth="1"/>
    <col min="11" max="11" width="16.625" style="107" bestFit="1" customWidth="1"/>
    <col min="12" max="12" width="16.75" style="107" customWidth="1"/>
    <col min="13" max="13" width="18.75" style="107" bestFit="1" customWidth="1"/>
    <col min="14" max="14" width="17.75" style="107" bestFit="1" customWidth="1"/>
    <col min="15" max="16384" width="9" style="107"/>
  </cols>
  <sheetData>
    <row r="1" spans="1:13">
      <c r="A1" s="107" t="s">
        <v>353</v>
      </c>
    </row>
    <row r="2" spans="1:13">
      <c r="A2" s="107" t="s">
        <v>354</v>
      </c>
    </row>
    <row r="3" spans="1:13">
      <c r="A3" s="107" t="s">
        <v>355</v>
      </c>
    </row>
    <row r="4" spans="1:13">
      <c r="A4" s="298" t="str">
        <f>공시BS!A4</f>
        <v>[회사명]</v>
      </c>
      <c r="B4" s="298"/>
      <c r="C4" s="298"/>
      <c r="D4" s="298"/>
      <c r="E4" s="117"/>
      <c r="F4" s="117"/>
    </row>
    <row r="5" spans="1:13">
      <c r="F5" s="108" t="s">
        <v>92</v>
      </c>
    </row>
    <row r="6" spans="1:13">
      <c r="A6" s="110" t="s">
        <v>93</v>
      </c>
      <c r="B6" s="110" t="s">
        <v>94</v>
      </c>
      <c r="C6" s="297" t="s">
        <v>351</v>
      </c>
      <c r="D6" s="297"/>
      <c r="E6" s="297" t="s">
        <v>352</v>
      </c>
      <c r="F6" s="297"/>
      <c r="K6" s="110"/>
      <c r="L6" s="110"/>
      <c r="M6" s="110"/>
    </row>
    <row r="7" spans="1:13">
      <c r="A7" s="112" t="s">
        <v>224</v>
      </c>
      <c r="B7" s="246"/>
      <c r="C7" s="118"/>
      <c r="D7" s="113">
        <f>SUM(C8:C11)</f>
        <v>0</v>
      </c>
      <c r="E7" s="115"/>
      <c r="F7" s="113">
        <f>SUM(E8:E11)</f>
        <v>0</v>
      </c>
      <c r="H7" s="107" t="b">
        <f>D7=FAR!J118</f>
        <v>1</v>
      </c>
      <c r="I7" s="107" t="b">
        <f>F7=FAR!K118</f>
        <v>1</v>
      </c>
      <c r="K7" s="289"/>
      <c r="L7" s="113"/>
      <c r="M7" s="113"/>
    </row>
    <row r="8" spans="1:13">
      <c r="A8" s="319" t="s">
        <v>225</v>
      </c>
      <c r="B8" s="246"/>
      <c r="C8" s="113">
        <f>FAR!J119</f>
        <v>0</v>
      </c>
      <c r="D8" s="115"/>
      <c r="E8" s="289">
        <f>FAR!K119</f>
        <v>0</v>
      </c>
      <c r="F8" s="113"/>
      <c r="K8" s="289"/>
      <c r="L8" s="113"/>
      <c r="M8" s="113"/>
    </row>
    <row r="9" spans="1:13">
      <c r="A9" s="319" t="s">
        <v>226</v>
      </c>
      <c r="B9" s="246"/>
      <c r="C9" s="113">
        <f>FAR!J120</f>
        <v>0</v>
      </c>
      <c r="D9" s="115"/>
      <c r="E9" s="289">
        <f>FAR!K120</f>
        <v>0</v>
      </c>
      <c r="F9" s="113"/>
      <c r="K9" s="289"/>
      <c r="L9" s="113"/>
      <c r="M9" s="113"/>
    </row>
    <row r="10" spans="1:13">
      <c r="A10" s="319" t="s">
        <v>227</v>
      </c>
      <c r="B10" s="246"/>
      <c r="C10" s="113">
        <f>FAR!J121</f>
        <v>0</v>
      </c>
      <c r="D10" s="115"/>
      <c r="E10" s="289">
        <f>FAR!K121</f>
        <v>0</v>
      </c>
      <c r="F10" s="113"/>
      <c r="K10" s="289"/>
      <c r="L10" s="113"/>
      <c r="M10" s="113"/>
    </row>
    <row r="11" spans="1:13">
      <c r="A11" s="319" t="s">
        <v>228</v>
      </c>
      <c r="B11" s="246"/>
      <c r="C11" s="113">
        <f>FAR!J122</f>
        <v>0</v>
      </c>
      <c r="D11" s="115"/>
      <c r="E11" s="289">
        <f>FAR!K122</f>
        <v>0</v>
      </c>
      <c r="F11" s="113"/>
      <c r="K11" s="289"/>
      <c r="L11" s="113"/>
      <c r="M11" s="113"/>
    </row>
    <row r="12" spans="1:13">
      <c r="A12" s="112" t="s">
        <v>229</v>
      </c>
      <c r="B12" s="246"/>
      <c r="C12" s="118"/>
      <c r="D12" s="113">
        <f>D13+D22</f>
        <v>0</v>
      </c>
      <c r="E12" s="115"/>
      <c r="F12" s="113">
        <f>F13+F22</f>
        <v>0</v>
      </c>
      <c r="H12" s="107" t="b">
        <f>D12=FAR!J123</f>
        <v>1</v>
      </c>
      <c r="I12" s="107" t="b">
        <f>F12=FAR!K123</f>
        <v>1</v>
      </c>
      <c r="K12" s="289"/>
      <c r="L12" s="113"/>
      <c r="M12" s="113"/>
    </row>
    <row r="13" spans="1:13">
      <c r="A13" s="119" t="s">
        <v>230</v>
      </c>
      <c r="B13" s="246"/>
      <c r="C13" s="118"/>
      <c r="D13" s="113">
        <f>SUM(C14:C21)</f>
        <v>0</v>
      </c>
      <c r="E13" s="115"/>
      <c r="F13" s="113">
        <f>SUM(E14:E21)</f>
        <v>0</v>
      </c>
      <c r="H13" s="107" t="b">
        <f>D13=FAR!J124</f>
        <v>1</v>
      </c>
      <c r="I13" s="107" t="b">
        <f>F13=FAR!K124</f>
        <v>1</v>
      </c>
      <c r="K13" s="289"/>
      <c r="L13" s="113"/>
      <c r="M13" s="113"/>
    </row>
    <row r="14" spans="1:13">
      <c r="A14" s="319" t="s">
        <v>154</v>
      </c>
      <c r="B14" s="246"/>
      <c r="C14" s="113">
        <f>FAR!J125</f>
        <v>0</v>
      </c>
      <c r="D14" s="115"/>
      <c r="E14" s="289">
        <f>FAR!K125</f>
        <v>0</v>
      </c>
      <c r="F14" s="113"/>
      <c r="K14" s="289"/>
      <c r="L14" s="113"/>
      <c r="M14" s="113"/>
    </row>
    <row r="15" spans="1:13">
      <c r="A15" s="319" t="s">
        <v>155</v>
      </c>
      <c r="B15" s="246"/>
      <c r="C15" s="113">
        <f>FAR!J126</f>
        <v>0</v>
      </c>
      <c r="D15" s="115"/>
      <c r="E15" s="289">
        <f>FAR!K126</f>
        <v>0</v>
      </c>
      <c r="F15" s="113"/>
      <c r="K15" s="289"/>
      <c r="L15" s="113"/>
      <c r="M15" s="113"/>
    </row>
    <row r="16" spans="1:13">
      <c r="A16" s="319" t="s">
        <v>231</v>
      </c>
      <c r="B16" s="246"/>
      <c r="C16" s="113">
        <f>FAR!J127</f>
        <v>0</v>
      </c>
      <c r="D16" s="115"/>
      <c r="E16" s="289">
        <f>FAR!K127</f>
        <v>0</v>
      </c>
      <c r="F16" s="113"/>
      <c r="K16" s="289"/>
      <c r="L16" s="113"/>
      <c r="M16" s="113"/>
    </row>
    <row r="17" spans="1:13">
      <c r="A17" s="319" t="s">
        <v>232</v>
      </c>
      <c r="B17" s="246"/>
      <c r="C17" s="113">
        <f>FAR!J128</f>
        <v>0</v>
      </c>
      <c r="D17" s="115"/>
      <c r="E17" s="289">
        <f>FAR!K128</f>
        <v>0</v>
      </c>
      <c r="F17" s="113"/>
      <c r="K17" s="289"/>
      <c r="L17" s="113"/>
      <c r="M17" s="113"/>
    </row>
    <row r="18" spans="1:13">
      <c r="A18" s="319" t="s">
        <v>233</v>
      </c>
      <c r="B18" s="246"/>
      <c r="C18" s="113">
        <f>FAR!J129</f>
        <v>0</v>
      </c>
      <c r="D18" s="115"/>
      <c r="E18" s="289">
        <f>FAR!K129</f>
        <v>0</v>
      </c>
      <c r="F18" s="113"/>
      <c r="K18" s="289"/>
      <c r="L18" s="113"/>
      <c r="M18" s="113"/>
    </row>
    <row r="19" spans="1:13">
      <c r="A19" s="319" t="s">
        <v>234</v>
      </c>
      <c r="B19" s="246"/>
      <c r="C19" s="113">
        <f>FAR!J130</f>
        <v>0</v>
      </c>
      <c r="D19" s="115"/>
      <c r="E19" s="289">
        <f>FAR!K130</f>
        <v>0</v>
      </c>
      <c r="F19" s="113"/>
      <c r="K19" s="289"/>
      <c r="L19" s="113"/>
      <c r="M19" s="113"/>
    </row>
    <row r="20" spans="1:13">
      <c r="A20" s="319" t="s">
        <v>235</v>
      </c>
      <c r="B20" s="246"/>
      <c r="C20" s="113">
        <f>FAR!J131</f>
        <v>0</v>
      </c>
      <c r="D20" s="115"/>
      <c r="E20" s="289">
        <f>FAR!K131</f>
        <v>0</v>
      </c>
      <c r="F20" s="113"/>
      <c r="K20" s="289"/>
      <c r="L20" s="113"/>
      <c r="M20" s="113"/>
    </row>
    <row r="21" spans="1:13">
      <c r="A21" s="319" t="s">
        <v>171</v>
      </c>
      <c r="B21" s="246"/>
      <c r="C21" s="113">
        <f>FAR!J132</f>
        <v>0</v>
      </c>
      <c r="D21" s="115"/>
      <c r="E21" s="289">
        <f>FAR!K132</f>
        <v>0</v>
      </c>
      <c r="F21" s="113"/>
      <c r="K21" s="289"/>
      <c r="L21" s="113"/>
      <c r="M21" s="113"/>
    </row>
    <row r="22" spans="1:13">
      <c r="A22" s="119" t="s">
        <v>236</v>
      </c>
      <c r="B22" s="246"/>
      <c r="C22" s="118"/>
      <c r="D22" s="113">
        <f>SUM(C23:C27)</f>
        <v>0</v>
      </c>
      <c r="E22" s="115"/>
      <c r="F22" s="113">
        <f>SUM(E23:E27)</f>
        <v>0</v>
      </c>
      <c r="H22" s="107" t="b">
        <f>D22=FAR!J133</f>
        <v>1</v>
      </c>
      <c r="I22" s="107" t="b">
        <f>F22=FAR!K133</f>
        <v>1</v>
      </c>
      <c r="K22" s="289"/>
      <c r="L22" s="113"/>
      <c r="M22" s="113"/>
    </row>
    <row r="23" spans="1:13">
      <c r="A23" s="319" t="s">
        <v>28</v>
      </c>
      <c r="B23" s="246"/>
      <c r="C23" s="113">
        <f>FAR!J134</f>
        <v>0</v>
      </c>
      <c r="D23" s="115"/>
      <c r="E23" s="289">
        <f>FAR!K134</f>
        <v>0</v>
      </c>
      <c r="F23" s="113"/>
      <c r="K23" s="289"/>
      <c r="L23" s="113"/>
      <c r="M23" s="113"/>
    </row>
    <row r="24" spans="1:13">
      <c r="A24" s="319" t="s">
        <v>29</v>
      </c>
      <c r="B24" s="246"/>
      <c r="C24" s="113">
        <f>FAR!J135</f>
        <v>0</v>
      </c>
      <c r="D24" s="115"/>
      <c r="E24" s="289">
        <f>FAR!K135</f>
        <v>0</v>
      </c>
      <c r="F24" s="113"/>
      <c r="K24" s="289"/>
      <c r="L24" s="113"/>
      <c r="M24" s="113"/>
    </row>
    <row r="25" spans="1:13">
      <c r="A25" s="319" t="s">
        <v>237</v>
      </c>
      <c r="B25" s="246"/>
      <c r="C25" s="113">
        <f>FAR!J136</f>
        <v>0</v>
      </c>
      <c r="D25" s="115"/>
      <c r="E25" s="289">
        <f>FAR!K136</f>
        <v>0</v>
      </c>
      <c r="F25" s="113"/>
      <c r="K25" s="289"/>
      <c r="L25" s="113"/>
      <c r="M25" s="113"/>
    </row>
    <row r="26" spans="1:13">
      <c r="A26" s="319" t="s">
        <v>238</v>
      </c>
      <c r="B26" s="246"/>
      <c r="C26" s="113">
        <f>FAR!J137</f>
        <v>0</v>
      </c>
      <c r="D26" s="115"/>
      <c r="E26" s="289">
        <f>FAR!K137</f>
        <v>0</v>
      </c>
      <c r="F26" s="113"/>
      <c r="K26" s="289"/>
      <c r="L26" s="113"/>
      <c r="M26" s="113"/>
    </row>
    <row r="27" spans="1:13">
      <c r="A27" s="319" t="s">
        <v>158</v>
      </c>
      <c r="B27" s="246"/>
      <c r="C27" s="113">
        <f>FAR!J138</f>
        <v>0</v>
      </c>
      <c r="D27" s="115"/>
      <c r="E27" s="289">
        <f>FAR!K138</f>
        <v>0</v>
      </c>
      <c r="F27" s="113"/>
      <c r="K27" s="289"/>
      <c r="L27" s="113"/>
      <c r="M27" s="113"/>
    </row>
    <row r="28" spans="1:13">
      <c r="A28" s="112" t="s">
        <v>239</v>
      </c>
      <c r="B28" s="246"/>
      <c r="C28" s="118"/>
      <c r="D28" s="113">
        <f>D7-D12</f>
        <v>0</v>
      </c>
      <c r="E28" s="115"/>
      <c r="F28" s="113">
        <f>F7-F12</f>
        <v>0</v>
      </c>
      <c r="H28" s="107" t="b">
        <f>D28=FAR!J139</f>
        <v>1</v>
      </c>
      <c r="I28" s="107" t="b">
        <f>F28=FAR!K139</f>
        <v>1</v>
      </c>
      <c r="K28" s="289"/>
      <c r="L28" s="113"/>
      <c r="M28" s="113"/>
    </row>
    <row r="29" spans="1:13">
      <c r="A29" s="112" t="s">
        <v>243</v>
      </c>
      <c r="B29" s="246"/>
      <c r="C29" s="118"/>
      <c r="D29" s="113">
        <f>D30+D36</f>
        <v>0</v>
      </c>
      <c r="E29" s="115"/>
      <c r="F29" s="113">
        <f>F30+F36</f>
        <v>0</v>
      </c>
      <c r="H29" s="107" t="b">
        <f>D29=FAR!J143</f>
        <v>1</v>
      </c>
      <c r="I29" s="107" t="b">
        <f>F29=FAR!K143</f>
        <v>1</v>
      </c>
      <c r="K29" s="289"/>
      <c r="L29" s="113"/>
      <c r="M29" s="113"/>
    </row>
    <row r="30" spans="1:13">
      <c r="A30" s="119" t="s">
        <v>244</v>
      </c>
      <c r="B30" s="246"/>
      <c r="C30" s="118"/>
      <c r="D30" s="113">
        <f>SUM(C31:C35)</f>
        <v>0</v>
      </c>
      <c r="E30" s="115"/>
      <c r="F30" s="113">
        <f>SUM(E31:E35)</f>
        <v>0</v>
      </c>
      <c r="H30" s="107" t="b">
        <f>D30=FAR!J144</f>
        <v>1</v>
      </c>
      <c r="I30" s="107" t="b">
        <f>F30=FAR!K144</f>
        <v>1</v>
      </c>
      <c r="K30" s="289"/>
      <c r="L30" s="113"/>
      <c r="M30" s="113"/>
    </row>
    <row r="31" spans="1:13">
      <c r="A31" s="319" t="s">
        <v>109</v>
      </c>
      <c r="B31" s="246"/>
      <c r="C31" s="113">
        <f>FAR!J145</f>
        <v>0</v>
      </c>
      <c r="D31" s="115"/>
      <c r="E31" s="289">
        <f>FAR!K145</f>
        <v>0</v>
      </c>
      <c r="F31" s="113"/>
      <c r="K31" s="289"/>
      <c r="L31" s="113"/>
      <c r="M31" s="113"/>
    </row>
    <row r="32" spans="1:13">
      <c r="A32" s="319" t="s">
        <v>159</v>
      </c>
      <c r="B32" s="246"/>
      <c r="C32" s="113">
        <f>FAR!J146</f>
        <v>0</v>
      </c>
      <c r="D32" s="115"/>
      <c r="E32" s="289">
        <f>FAR!K146</f>
        <v>0</v>
      </c>
      <c r="F32" s="113"/>
      <c r="K32" s="289"/>
      <c r="L32" s="113"/>
      <c r="M32" s="113"/>
    </row>
    <row r="33" spans="1:13">
      <c r="A33" s="319" t="s">
        <v>160</v>
      </c>
      <c r="B33" s="246"/>
      <c r="C33" s="113">
        <f>FAR!J147</f>
        <v>0</v>
      </c>
      <c r="D33" s="115"/>
      <c r="E33" s="289">
        <f>FAR!K147</f>
        <v>0</v>
      </c>
      <c r="F33" s="113"/>
      <c r="K33" s="289"/>
      <c r="L33" s="113"/>
      <c r="M33" s="113"/>
    </row>
    <row r="34" spans="1:13">
      <c r="A34" s="319" t="s">
        <v>245</v>
      </c>
      <c r="B34" s="246"/>
      <c r="C34" s="113">
        <f>FAR!J148</f>
        <v>0</v>
      </c>
      <c r="D34" s="115"/>
      <c r="E34" s="289">
        <f>FAR!K148</f>
        <v>0</v>
      </c>
      <c r="F34" s="113"/>
      <c r="K34" s="289"/>
      <c r="L34" s="113"/>
      <c r="M34" s="113"/>
    </row>
    <row r="35" spans="1:13">
      <c r="A35" s="319" t="s">
        <v>51</v>
      </c>
      <c r="B35" s="246"/>
      <c r="C35" s="113">
        <f>FAR!J149</f>
        <v>0</v>
      </c>
      <c r="D35" s="115"/>
      <c r="E35" s="289">
        <f>FAR!K149</f>
        <v>0</v>
      </c>
      <c r="F35" s="113"/>
      <c r="K35" s="289"/>
      <c r="L35" s="113"/>
      <c r="M35" s="113"/>
    </row>
    <row r="36" spans="1:13">
      <c r="A36" s="119" t="s">
        <v>246</v>
      </c>
      <c r="B36" s="246"/>
      <c r="C36" s="118"/>
      <c r="D36" s="113">
        <f>SUM(C37:C57)</f>
        <v>0</v>
      </c>
      <c r="E36" s="115"/>
      <c r="F36" s="113">
        <f>SUM(E37:E57)</f>
        <v>0</v>
      </c>
      <c r="H36" s="107" t="b">
        <f>D36=FAR!J150</f>
        <v>1</v>
      </c>
      <c r="I36" s="107" t="b">
        <f>F36=FAR!K150</f>
        <v>1</v>
      </c>
      <c r="K36" s="289"/>
      <c r="L36" s="113"/>
      <c r="M36" s="113"/>
    </row>
    <row r="37" spans="1:13">
      <c r="A37" s="319" t="s">
        <v>39</v>
      </c>
      <c r="B37" s="246"/>
      <c r="C37" s="113">
        <f>FAR!J151</f>
        <v>0</v>
      </c>
      <c r="D37" s="115"/>
      <c r="E37" s="289">
        <f>FAR!K151</f>
        <v>0</v>
      </c>
      <c r="F37" s="113"/>
      <c r="K37" s="289"/>
      <c r="L37" s="113"/>
      <c r="M37" s="113"/>
    </row>
    <row r="38" spans="1:13">
      <c r="A38" s="319" t="s">
        <v>30</v>
      </c>
      <c r="B38" s="246"/>
      <c r="C38" s="113">
        <f>FAR!J152</f>
        <v>0</v>
      </c>
      <c r="D38" s="115"/>
      <c r="E38" s="289">
        <f>FAR!K152</f>
        <v>0</v>
      </c>
      <c r="F38" s="113"/>
      <c r="K38" s="289"/>
      <c r="L38" s="113"/>
      <c r="M38" s="113"/>
    </row>
    <row r="39" spans="1:13">
      <c r="A39" s="319" t="s">
        <v>247</v>
      </c>
      <c r="B39" s="246"/>
      <c r="C39" s="113">
        <f>FAR!J153</f>
        <v>0</v>
      </c>
      <c r="D39" s="115"/>
      <c r="E39" s="289">
        <f>FAR!K153</f>
        <v>0</v>
      </c>
      <c r="F39" s="113"/>
      <c r="K39" s="289"/>
      <c r="L39" s="113"/>
      <c r="M39" s="113"/>
    </row>
    <row r="40" spans="1:13">
      <c r="A40" s="319" t="s">
        <v>32</v>
      </c>
      <c r="B40" s="246"/>
      <c r="C40" s="113">
        <f>FAR!J154</f>
        <v>0</v>
      </c>
      <c r="D40" s="115"/>
      <c r="E40" s="289">
        <f>FAR!K154</f>
        <v>0</v>
      </c>
      <c r="F40" s="113"/>
      <c r="K40" s="289"/>
      <c r="L40" s="113"/>
      <c r="M40" s="113"/>
    </row>
    <row r="41" spans="1:13">
      <c r="A41" s="319" t="s">
        <v>60</v>
      </c>
      <c r="B41" s="246"/>
      <c r="C41" s="113">
        <f>FAR!J155</f>
        <v>0</v>
      </c>
      <c r="D41" s="115"/>
      <c r="E41" s="289">
        <f>FAR!K155</f>
        <v>0</v>
      </c>
      <c r="F41" s="113"/>
      <c r="K41" s="289"/>
      <c r="L41" s="113"/>
      <c r="M41" s="113"/>
    </row>
    <row r="42" spans="1:13">
      <c r="A42" s="319" t="s">
        <v>161</v>
      </c>
      <c r="B42" s="246"/>
      <c r="C42" s="113">
        <f>FAR!J156</f>
        <v>0</v>
      </c>
      <c r="D42" s="115"/>
      <c r="E42" s="289">
        <f>FAR!K156</f>
        <v>0</v>
      </c>
      <c r="F42" s="113"/>
      <c r="K42" s="289"/>
      <c r="L42" s="113"/>
      <c r="M42" s="113"/>
    </row>
    <row r="43" spans="1:13">
      <c r="A43" s="319" t="s">
        <v>52</v>
      </c>
      <c r="B43" s="246"/>
      <c r="C43" s="113">
        <f>FAR!J157</f>
        <v>0</v>
      </c>
      <c r="D43" s="115"/>
      <c r="E43" s="289">
        <f>FAR!K157</f>
        <v>0</v>
      </c>
      <c r="F43" s="113"/>
      <c r="K43" s="289"/>
      <c r="L43" s="113"/>
      <c r="M43" s="113"/>
    </row>
    <row r="44" spans="1:13">
      <c r="A44" s="319" t="s">
        <v>88</v>
      </c>
      <c r="B44" s="246"/>
      <c r="C44" s="113">
        <f>FAR!J158</f>
        <v>0</v>
      </c>
      <c r="D44" s="115"/>
      <c r="E44" s="289">
        <f>FAR!K158</f>
        <v>0</v>
      </c>
      <c r="F44" s="113"/>
      <c r="K44" s="289"/>
      <c r="L44" s="113"/>
      <c r="M44" s="113"/>
    </row>
    <row r="45" spans="1:13">
      <c r="A45" s="319" t="s">
        <v>33</v>
      </c>
      <c r="B45" s="246"/>
      <c r="C45" s="113">
        <f>FAR!J159</f>
        <v>0</v>
      </c>
      <c r="D45" s="115"/>
      <c r="E45" s="289">
        <f>FAR!K159</f>
        <v>0</v>
      </c>
      <c r="F45" s="113"/>
      <c r="K45" s="289"/>
      <c r="L45" s="113"/>
      <c r="M45" s="113"/>
    </row>
    <row r="46" spans="1:13">
      <c r="A46" s="319" t="s">
        <v>34</v>
      </c>
      <c r="B46" s="246"/>
      <c r="C46" s="113">
        <f>FAR!J160</f>
        <v>0</v>
      </c>
      <c r="D46" s="115"/>
      <c r="E46" s="289">
        <f>FAR!K160</f>
        <v>0</v>
      </c>
      <c r="F46" s="113"/>
      <c r="K46" s="289"/>
      <c r="L46" s="113"/>
      <c r="M46" s="113"/>
    </row>
    <row r="47" spans="1:13">
      <c r="A47" s="319" t="s">
        <v>41</v>
      </c>
      <c r="B47" s="246"/>
      <c r="C47" s="113">
        <f>FAR!J161</f>
        <v>0</v>
      </c>
      <c r="D47" s="115"/>
      <c r="E47" s="289">
        <f>FAR!K161</f>
        <v>0</v>
      </c>
      <c r="F47" s="113"/>
      <c r="K47" s="289"/>
      <c r="L47" s="113"/>
      <c r="M47" s="113"/>
    </row>
    <row r="48" spans="1:13">
      <c r="A48" s="319" t="s">
        <v>42</v>
      </c>
      <c r="B48" s="246"/>
      <c r="C48" s="113">
        <f>FAR!J162</f>
        <v>0</v>
      </c>
      <c r="D48" s="115"/>
      <c r="E48" s="289">
        <f>FAR!K162</f>
        <v>0</v>
      </c>
      <c r="F48" s="113"/>
      <c r="K48" s="289"/>
      <c r="L48" s="113"/>
      <c r="M48" s="113"/>
    </row>
    <row r="49" spans="1:13">
      <c r="A49" s="319" t="s">
        <v>35</v>
      </c>
      <c r="B49" s="246"/>
      <c r="C49" s="113">
        <f>FAR!J163</f>
        <v>0</v>
      </c>
      <c r="D49" s="115"/>
      <c r="E49" s="289">
        <f>FAR!K163</f>
        <v>0</v>
      </c>
      <c r="F49" s="113"/>
      <c r="K49" s="289"/>
      <c r="L49" s="113"/>
      <c r="M49" s="113"/>
    </row>
    <row r="50" spans="1:13">
      <c r="A50" s="319" t="s">
        <v>40</v>
      </c>
      <c r="B50" s="246"/>
      <c r="C50" s="113">
        <f>FAR!J164</f>
        <v>0</v>
      </c>
      <c r="D50" s="115"/>
      <c r="E50" s="289">
        <f>FAR!K164</f>
        <v>0</v>
      </c>
      <c r="F50" s="113"/>
      <c r="K50" s="289"/>
      <c r="L50" s="113"/>
      <c r="M50" s="113"/>
    </row>
    <row r="51" spans="1:13">
      <c r="A51" s="319" t="s">
        <v>37</v>
      </c>
      <c r="B51" s="246"/>
      <c r="C51" s="113">
        <f>FAR!J165</f>
        <v>0</v>
      </c>
      <c r="D51" s="115"/>
      <c r="E51" s="289">
        <f>FAR!K165</f>
        <v>0</v>
      </c>
      <c r="F51" s="113"/>
      <c r="K51" s="289"/>
      <c r="L51" s="113"/>
      <c r="M51" s="113"/>
    </row>
    <row r="52" spans="1:13">
      <c r="A52" s="319" t="s">
        <v>38</v>
      </c>
      <c r="B52" s="246"/>
      <c r="C52" s="113">
        <f>FAR!J166</f>
        <v>0</v>
      </c>
      <c r="D52" s="115"/>
      <c r="E52" s="289">
        <f>FAR!K166</f>
        <v>0</v>
      </c>
      <c r="F52" s="113"/>
      <c r="K52" s="289"/>
      <c r="L52" s="113"/>
      <c r="M52" s="113"/>
    </row>
    <row r="53" spans="1:13">
      <c r="A53" s="319" t="s">
        <v>36</v>
      </c>
      <c r="B53" s="246"/>
      <c r="C53" s="113">
        <f>FAR!J167</f>
        <v>0</v>
      </c>
      <c r="D53" s="115"/>
      <c r="E53" s="289">
        <f>FAR!K167</f>
        <v>0</v>
      </c>
      <c r="F53" s="113"/>
      <c r="K53" s="289"/>
      <c r="L53" s="113"/>
      <c r="M53" s="113"/>
    </row>
    <row r="54" spans="1:13">
      <c r="A54" s="319" t="s">
        <v>248</v>
      </c>
      <c r="B54" s="246"/>
      <c r="C54" s="113">
        <f>FAR!J168</f>
        <v>0</v>
      </c>
      <c r="D54" s="115"/>
      <c r="E54" s="289">
        <f>FAR!K168</f>
        <v>0</v>
      </c>
      <c r="F54" s="113"/>
      <c r="K54" s="289"/>
      <c r="L54" s="113"/>
      <c r="M54" s="113"/>
    </row>
    <row r="55" spans="1:13">
      <c r="A55" s="319" t="s">
        <v>89</v>
      </c>
      <c r="B55" s="246"/>
      <c r="C55" s="113">
        <f>FAR!J169</f>
        <v>0</v>
      </c>
      <c r="D55" s="115"/>
      <c r="E55" s="289">
        <f>FAR!K169</f>
        <v>0</v>
      </c>
      <c r="F55" s="113"/>
      <c r="K55" s="289"/>
      <c r="L55" s="113"/>
      <c r="M55" s="113"/>
    </row>
    <row r="56" spans="1:13">
      <c r="A56" s="319" t="s">
        <v>24</v>
      </c>
      <c r="B56" s="246"/>
      <c r="C56" s="113">
        <f>FAR!J170</f>
        <v>0</v>
      </c>
      <c r="D56" s="115"/>
      <c r="E56" s="289">
        <f>FAR!K170</f>
        <v>0</v>
      </c>
      <c r="F56" s="113"/>
      <c r="K56" s="289"/>
      <c r="L56" s="113"/>
      <c r="M56" s="113"/>
    </row>
    <row r="57" spans="1:13">
      <c r="A57" s="319" t="s">
        <v>249</v>
      </c>
      <c r="B57" s="246"/>
      <c r="C57" s="113">
        <f>FAR!J171</f>
        <v>0</v>
      </c>
      <c r="D57" s="115"/>
      <c r="E57" s="289">
        <f>FAR!K171</f>
        <v>0</v>
      </c>
      <c r="F57" s="113"/>
      <c r="K57" s="289"/>
      <c r="L57" s="113"/>
      <c r="M57" s="113"/>
    </row>
    <row r="58" spans="1:13">
      <c r="A58" s="112" t="s">
        <v>250</v>
      </c>
      <c r="B58" s="246"/>
      <c r="C58" s="118"/>
      <c r="D58" s="113">
        <f>D28-D29</f>
        <v>0</v>
      </c>
      <c r="E58" s="115"/>
      <c r="F58" s="113">
        <f>F28-F29</f>
        <v>0</v>
      </c>
      <c r="H58" s="107" t="b">
        <f>D58=FAR!J172</f>
        <v>1</v>
      </c>
      <c r="I58" s="107" t="b">
        <f>F58=FAR!K172</f>
        <v>1</v>
      </c>
      <c r="K58" s="289"/>
      <c r="L58" s="113"/>
      <c r="M58" s="113"/>
    </row>
    <row r="59" spans="1:13">
      <c r="A59" s="112" t="s">
        <v>253</v>
      </c>
      <c r="B59" s="246"/>
      <c r="C59" s="118"/>
      <c r="D59" s="113">
        <f>SUM(C60:C66)</f>
        <v>0</v>
      </c>
      <c r="E59" s="115"/>
      <c r="F59" s="113">
        <f>SUM(E60:E66)</f>
        <v>0</v>
      </c>
      <c r="H59" s="107" t="b">
        <f>D59=FAR!J175</f>
        <v>1</v>
      </c>
      <c r="I59" s="107" t="b">
        <f>F59=FAR!K175</f>
        <v>1</v>
      </c>
      <c r="K59" s="289"/>
      <c r="L59" s="113"/>
      <c r="M59" s="113"/>
    </row>
    <row r="60" spans="1:13">
      <c r="A60" s="319" t="s">
        <v>43</v>
      </c>
      <c r="B60" s="246"/>
      <c r="C60" s="113">
        <f>FAR!J176</f>
        <v>0</v>
      </c>
      <c r="D60" s="115"/>
      <c r="E60" s="289">
        <f>FAR!K176</f>
        <v>0</v>
      </c>
      <c r="F60" s="113"/>
      <c r="K60" s="289"/>
      <c r="L60" s="113"/>
      <c r="M60" s="113"/>
    </row>
    <row r="61" spans="1:13">
      <c r="A61" s="319" t="s">
        <v>25</v>
      </c>
      <c r="B61" s="246"/>
      <c r="C61" s="113">
        <f>FAR!J177</f>
        <v>0</v>
      </c>
      <c r="D61" s="115"/>
      <c r="E61" s="289">
        <f>FAR!K177</f>
        <v>0</v>
      </c>
      <c r="F61" s="113"/>
      <c r="K61" s="289"/>
      <c r="L61" s="113"/>
      <c r="M61" s="113"/>
    </row>
    <row r="62" spans="1:13">
      <c r="A62" s="319" t="s">
        <v>20</v>
      </c>
      <c r="B62" s="246"/>
      <c r="C62" s="113">
        <f>FAR!J178</f>
        <v>0</v>
      </c>
      <c r="D62" s="115"/>
      <c r="E62" s="289">
        <f>FAR!K178</f>
        <v>0</v>
      </c>
      <c r="F62" s="113"/>
      <c r="K62" s="289"/>
      <c r="L62" s="113"/>
      <c r="M62" s="113"/>
    </row>
    <row r="63" spans="1:13">
      <c r="A63" s="319" t="s">
        <v>163</v>
      </c>
      <c r="B63" s="246"/>
      <c r="C63" s="113">
        <f>FAR!J179</f>
        <v>0</v>
      </c>
      <c r="D63" s="115"/>
      <c r="E63" s="289">
        <f>FAR!K179</f>
        <v>0</v>
      </c>
      <c r="F63" s="113"/>
      <c r="K63" s="289"/>
      <c r="L63" s="113"/>
      <c r="M63" s="113"/>
    </row>
    <row r="64" spans="1:13">
      <c r="A64" s="319" t="s">
        <v>53</v>
      </c>
      <c r="B64" s="246"/>
      <c r="C64" s="113">
        <f>FAR!J180</f>
        <v>0</v>
      </c>
      <c r="D64" s="115"/>
      <c r="E64" s="289">
        <f>FAR!K180</f>
        <v>0</v>
      </c>
      <c r="F64" s="113"/>
      <c r="K64" s="289"/>
      <c r="L64" s="113"/>
      <c r="M64" s="113"/>
    </row>
    <row r="65" spans="1:13">
      <c r="A65" s="319" t="s">
        <v>129</v>
      </c>
      <c r="B65" s="246"/>
      <c r="C65" s="113">
        <f>FAR!J181</f>
        <v>0</v>
      </c>
      <c r="D65" s="115"/>
      <c r="E65" s="289">
        <f>FAR!K181</f>
        <v>0</v>
      </c>
      <c r="F65" s="113"/>
      <c r="K65" s="289"/>
      <c r="L65" s="113"/>
      <c r="M65" s="113"/>
    </row>
    <row r="66" spans="1:13">
      <c r="A66" s="319" t="s">
        <v>5</v>
      </c>
      <c r="B66" s="246"/>
      <c r="C66" s="113">
        <f>FAR!J182</f>
        <v>0</v>
      </c>
      <c r="D66" s="115"/>
      <c r="E66" s="289">
        <f>FAR!K182</f>
        <v>0</v>
      </c>
      <c r="F66" s="113"/>
      <c r="K66" s="289"/>
      <c r="L66" s="113"/>
      <c r="M66" s="113"/>
    </row>
    <row r="67" spans="1:13">
      <c r="A67" s="112" t="s">
        <v>254</v>
      </c>
      <c r="B67" s="246"/>
      <c r="C67" s="118"/>
      <c r="D67" s="113">
        <f>SUM(C68:C75)</f>
        <v>0</v>
      </c>
      <c r="E67" s="115"/>
      <c r="F67" s="113">
        <f>SUM(E68:E75)</f>
        <v>0</v>
      </c>
      <c r="H67" s="107" t="b">
        <f>D67=FAR!J183</f>
        <v>1</v>
      </c>
      <c r="I67" s="107" t="b">
        <f>F67=FAR!K183</f>
        <v>1</v>
      </c>
      <c r="K67" s="289"/>
      <c r="L67" s="113"/>
      <c r="M67" s="113"/>
    </row>
    <row r="68" spans="1:13">
      <c r="A68" s="319" t="s">
        <v>6</v>
      </c>
      <c r="B68" s="246"/>
      <c r="C68" s="113">
        <f>FAR!J184</f>
        <v>0</v>
      </c>
      <c r="D68" s="115"/>
      <c r="E68" s="289">
        <f>FAR!K184</f>
        <v>0</v>
      </c>
      <c r="F68" s="113"/>
      <c r="K68" s="289"/>
      <c r="L68" s="113"/>
      <c r="M68" s="113"/>
    </row>
    <row r="69" spans="1:13">
      <c r="A69" s="319" t="s">
        <v>21</v>
      </c>
      <c r="B69" s="246"/>
      <c r="C69" s="113">
        <f>FAR!J185</f>
        <v>0</v>
      </c>
      <c r="D69" s="115"/>
      <c r="E69" s="289">
        <f>FAR!K185</f>
        <v>0</v>
      </c>
      <c r="F69" s="113"/>
      <c r="K69" s="289"/>
      <c r="L69" s="113"/>
      <c r="M69" s="113"/>
    </row>
    <row r="70" spans="1:13">
      <c r="A70" s="319" t="s">
        <v>22</v>
      </c>
      <c r="B70" s="246"/>
      <c r="C70" s="113">
        <f>FAR!J186</f>
        <v>0</v>
      </c>
      <c r="D70" s="115"/>
      <c r="E70" s="289">
        <f>FAR!K186</f>
        <v>0</v>
      </c>
      <c r="F70" s="113"/>
      <c r="K70" s="289"/>
      <c r="L70" s="113"/>
      <c r="M70" s="113"/>
    </row>
    <row r="71" spans="1:13">
      <c r="A71" s="319" t="s">
        <v>110</v>
      </c>
      <c r="B71" s="246"/>
      <c r="C71" s="113">
        <f>FAR!J187</f>
        <v>0</v>
      </c>
      <c r="D71" s="115"/>
      <c r="E71" s="289">
        <f>FAR!K187</f>
        <v>0</v>
      </c>
      <c r="F71" s="113"/>
      <c r="K71" s="289"/>
      <c r="L71" s="113"/>
      <c r="M71" s="113"/>
    </row>
    <row r="72" spans="1:13">
      <c r="A72" s="319" t="s">
        <v>90</v>
      </c>
      <c r="B72" s="246"/>
      <c r="C72" s="113">
        <f>FAR!J188</f>
        <v>0</v>
      </c>
      <c r="D72" s="115"/>
      <c r="E72" s="289">
        <f>FAR!K188</f>
        <v>0</v>
      </c>
      <c r="F72" s="113"/>
      <c r="K72" s="289"/>
      <c r="L72" s="113"/>
      <c r="M72" s="113"/>
    </row>
    <row r="73" spans="1:13">
      <c r="A73" s="319" t="s">
        <v>162</v>
      </c>
      <c r="B73" s="246"/>
      <c r="C73" s="113">
        <f>FAR!J189</f>
        <v>0</v>
      </c>
      <c r="D73" s="115"/>
      <c r="E73" s="289">
        <f>FAR!K189</f>
        <v>0</v>
      </c>
      <c r="F73" s="113"/>
      <c r="K73" s="289"/>
      <c r="L73" s="113"/>
      <c r="M73" s="113"/>
    </row>
    <row r="74" spans="1:13">
      <c r="A74" s="319" t="s">
        <v>130</v>
      </c>
      <c r="B74" s="246"/>
      <c r="C74" s="113">
        <f>FAR!J190</f>
        <v>0</v>
      </c>
      <c r="D74" s="115"/>
      <c r="E74" s="289">
        <f>FAR!K190</f>
        <v>0</v>
      </c>
      <c r="F74" s="113"/>
      <c r="K74" s="289"/>
      <c r="L74" s="113"/>
      <c r="M74" s="113"/>
    </row>
    <row r="75" spans="1:13">
      <c r="A75" s="319" t="s">
        <v>23</v>
      </c>
      <c r="B75" s="246"/>
      <c r="C75" s="113">
        <f>FAR!J191</f>
        <v>0</v>
      </c>
      <c r="D75" s="115"/>
      <c r="E75" s="289">
        <f>FAR!K191</f>
        <v>0</v>
      </c>
      <c r="F75" s="113"/>
      <c r="K75" s="289"/>
      <c r="L75" s="113"/>
      <c r="M75" s="113"/>
    </row>
    <row r="76" spans="1:13">
      <c r="A76" s="112" t="s">
        <v>255</v>
      </c>
      <c r="B76" s="246"/>
      <c r="C76" s="118"/>
      <c r="D76" s="113">
        <f>D58+D59-D67</f>
        <v>0</v>
      </c>
      <c r="E76" s="115"/>
      <c r="F76" s="113">
        <f>F58+F59-F67</f>
        <v>0</v>
      </c>
      <c r="H76" s="107" t="b">
        <f>D76=FAR!J192</f>
        <v>1</v>
      </c>
      <c r="I76" s="107" t="b">
        <f>F76=FAR!K192</f>
        <v>1</v>
      </c>
      <c r="K76" s="289"/>
      <c r="L76" s="113"/>
      <c r="M76" s="113"/>
    </row>
    <row r="77" spans="1:13">
      <c r="A77" s="112" t="s">
        <v>256</v>
      </c>
      <c r="B77" s="246"/>
      <c r="C77" s="118"/>
      <c r="D77" s="113">
        <f>SUM(C78:C78)</f>
        <v>0</v>
      </c>
      <c r="E77" s="115"/>
      <c r="F77" s="113">
        <f>SUM(E78:E78)</f>
        <v>0</v>
      </c>
      <c r="H77" s="107" t="b">
        <f>D77=FAR!J193</f>
        <v>1</v>
      </c>
      <c r="I77" s="107" t="b">
        <f>F77=FAR!K193</f>
        <v>1</v>
      </c>
      <c r="K77" s="289"/>
      <c r="L77" s="113"/>
      <c r="M77" s="113"/>
    </row>
    <row r="78" spans="1:13">
      <c r="A78" s="319" t="s">
        <v>257</v>
      </c>
      <c r="B78" s="246"/>
      <c r="C78" s="113">
        <f>FAR!J194</f>
        <v>0</v>
      </c>
      <c r="D78" s="115"/>
      <c r="E78" s="289">
        <f>FAR!K194</f>
        <v>0</v>
      </c>
      <c r="F78" s="113"/>
      <c r="K78" s="289"/>
      <c r="L78" s="113"/>
      <c r="M78" s="113"/>
    </row>
    <row r="79" spans="1:13">
      <c r="A79" s="112" t="s">
        <v>258</v>
      </c>
      <c r="B79" s="246"/>
      <c r="C79" s="118"/>
      <c r="D79" s="113">
        <f>SUM(C80:C80)</f>
        <v>0</v>
      </c>
      <c r="E79" s="115"/>
      <c r="F79" s="113">
        <f>SUM(E80:E80)</f>
        <v>0</v>
      </c>
      <c r="H79" s="107" t="b">
        <f>D79=FAR!J195</f>
        <v>1</v>
      </c>
      <c r="I79" s="107" t="b">
        <f>F79=FAR!K195</f>
        <v>1</v>
      </c>
      <c r="K79" s="289"/>
      <c r="L79" s="113"/>
      <c r="M79" s="113"/>
    </row>
    <row r="80" spans="1:13">
      <c r="A80" s="319" t="s">
        <v>259</v>
      </c>
      <c r="B80" s="246"/>
      <c r="C80" s="113">
        <f>FAR!J196</f>
        <v>0</v>
      </c>
      <c r="D80" s="115"/>
      <c r="E80" s="289">
        <f>FAR!K196</f>
        <v>0</v>
      </c>
      <c r="F80" s="113"/>
      <c r="K80" s="289"/>
      <c r="L80" s="113"/>
      <c r="M80" s="113"/>
    </row>
    <row r="81" spans="1:13">
      <c r="A81" s="112" t="s">
        <v>260</v>
      </c>
      <c r="B81" s="246"/>
      <c r="C81" s="118"/>
      <c r="D81" s="113">
        <f>D76+D77-D79</f>
        <v>0</v>
      </c>
      <c r="E81" s="115"/>
      <c r="F81" s="113">
        <f>F76+F77-F79</f>
        <v>0</v>
      </c>
      <c r="H81" s="107" t="b">
        <f>D81=FAR!J197</f>
        <v>1</v>
      </c>
      <c r="I81" s="107" t="b">
        <f>F81=FAR!K197</f>
        <v>1</v>
      </c>
      <c r="K81" s="289"/>
      <c r="L81" s="113"/>
      <c r="M81" s="113"/>
    </row>
    <row r="82" spans="1:13">
      <c r="A82" s="319" t="s">
        <v>54</v>
      </c>
      <c r="B82" s="246"/>
      <c r="C82" s="113">
        <f>FAR!J199</f>
        <v>0</v>
      </c>
      <c r="D82" s="115"/>
      <c r="E82" s="289">
        <f>FAR!K199</f>
        <v>0</v>
      </c>
      <c r="F82" s="113"/>
      <c r="K82" s="289"/>
      <c r="L82" s="113"/>
      <c r="M82" s="113"/>
    </row>
    <row r="83" spans="1:13">
      <c r="A83" s="112" t="s">
        <v>262</v>
      </c>
      <c r="B83" s="246"/>
      <c r="C83" s="118"/>
      <c r="D83" s="113">
        <f>D81-C82</f>
        <v>0</v>
      </c>
      <c r="E83" s="115"/>
      <c r="F83" s="113">
        <f>F81-E82</f>
        <v>0</v>
      </c>
      <c r="H83" s="107" t="b">
        <f>D83=FAR!J200</f>
        <v>1</v>
      </c>
      <c r="I83" s="107" t="b">
        <f>F83=FAR!K200</f>
        <v>1</v>
      </c>
      <c r="K83" s="289"/>
      <c r="L83" s="113"/>
      <c r="M83" s="113"/>
    </row>
  </sheetData>
  <mergeCells count="3">
    <mergeCell ref="A4:D4"/>
    <mergeCell ref="C6:D6"/>
    <mergeCell ref="E6:F6"/>
  </mergeCells>
  <phoneticPr fontId="3" type="noConversion"/>
  <conditionalFormatting sqref="A1:XFD6 A84:XFD1048576">
    <cfRule type="containsText" dxfId="554" priority="78" operator="containsText" text="TRUE">
      <formula>NOT(ISERROR(SEARCH("TRUE",A1)))</formula>
    </cfRule>
  </conditionalFormatting>
  <conditionalFormatting sqref="A7:XFD7">
    <cfRule type="containsText" dxfId="553" priority="77" operator="containsText" text="TRUE">
      <formula>NOT(ISERROR(SEARCH("TRUE",A7)))</formula>
    </cfRule>
  </conditionalFormatting>
  <conditionalFormatting sqref="A8:XFD8">
    <cfRule type="containsText" dxfId="552" priority="76" operator="containsText" text="TRUE">
      <formula>NOT(ISERROR(SEARCH("TRUE",A8)))</formula>
    </cfRule>
  </conditionalFormatting>
  <conditionalFormatting sqref="A9:XFD9">
    <cfRule type="containsText" dxfId="551" priority="75" operator="containsText" text="TRUE">
      <formula>NOT(ISERROR(SEARCH("TRUE",A9)))</formula>
    </cfRule>
  </conditionalFormatting>
  <conditionalFormatting sqref="A10:XFD10">
    <cfRule type="containsText" dxfId="550" priority="74" operator="containsText" text="TRUE">
      <formula>NOT(ISERROR(SEARCH("TRUE",A10)))</formula>
    </cfRule>
  </conditionalFormatting>
  <conditionalFormatting sqref="A11:XFD11">
    <cfRule type="containsText" dxfId="549" priority="73" operator="containsText" text="TRUE">
      <formula>NOT(ISERROR(SEARCH("TRUE",A11)))</formula>
    </cfRule>
  </conditionalFormatting>
  <conditionalFormatting sqref="A12:XFD12">
    <cfRule type="containsText" dxfId="548" priority="72" operator="containsText" text="TRUE">
      <formula>NOT(ISERROR(SEARCH("TRUE",A12)))</formula>
    </cfRule>
  </conditionalFormatting>
  <conditionalFormatting sqref="A13:XFD13">
    <cfRule type="containsText" dxfId="547" priority="71" operator="containsText" text="TRUE">
      <formula>NOT(ISERROR(SEARCH("TRUE",A13)))</formula>
    </cfRule>
  </conditionalFormatting>
  <conditionalFormatting sqref="A14:XFD14">
    <cfRule type="containsText" dxfId="546" priority="70" operator="containsText" text="TRUE">
      <formula>NOT(ISERROR(SEARCH("TRUE",A14)))</formula>
    </cfRule>
  </conditionalFormatting>
  <conditionalFormatting sqref="A15:XFD15">
    <cfRule type="containsText" dxfId="545" priority="69" operator="containsText" text="TRUE">
      <formula>NOT(ISERROR(SEARCH("TRUE",A15)))</formula>
    </cfRule>
  </conditionalFormatting>
  <conditionalFormatting sqref="A16:XFD16">
    <cfRule type="containsText" dxfId="544" priority="68" operator="containsText" text="TRUE">
      <formula>NOT(ISERROR(SEARCH("TRUE",A16)))</formula>
    </cfRule>
  </conditionalFormatting>
  <conditionalFormatting sqref="A17:XFD17">
    <cfRule type="containsText" dxfId="543" priority="67" operator="containsText" text="TRUE">
      <formula>NOT(ISERROR(SEARCH("TRUE",A17)))</formula>
    </cfRule>
  </conditionalFormatting>
  <conditionalFormatting sqref="A18:XFD18">
    <cfRule type="containsText" dxfId="542" priority="66" operator="containsText" text="TRUE">
      <formula>NOT(ISERROR(SEARCH("TRUE",A18)))</formula>
    </cfRule>
  </conditionalFormatting>
  <conditionalFormatting sqref="A19:XFD19">
    <cfRule type="containsText" dxfId="541" priority="65" operator="containsText" text="TRUE">
      <formula>NOT(ISERROR(SEARCH("TRUE",A19)))</formula>
    </cfRule>
  </conditionalFormatting>
  <conditionalFormatting sqref="A20:XFD20">
    <cfRule type="containsText" dxfId="540" priority="64" operator="containsText" text="TRUE">
      <formula>NOT(ISERROR(SEARCH("TRUE",A20)))</formula>
    </cfRule>
  </conditionalFormatting>
  <conditionalFormatting sqref="A21:XFD21">
    <cfRule type="containsText" dxfId="539" priority="63" operator="containsText" text="TRUE">
      <formula>NOT(ISERROR(SEARCH("TRUE",A21)))</formula>
    </cfRule>
  </conditionalFormatting>
  <conditionalFormatting sqref="A22:XFD22">
    <cfRule type="containsText" dxfId="538" priority="62" operator="containsText" text="TRUE">
      <formula>NOT(ISERROR(SEARCH("TRUE",A22)))</formula>
    </cfRule>
  </conditionalFormatting>
  <conditionalFormatting sqref="A23:XFD23">
    <cfRule type="containsText" dxfId="537" priority="61" operator="containsText" text="TRUE">
      <formula>NOT(ISERROR(SEARCH("TRUE",A23)))</formula>
    </cfRule>
  </conditionalFormatting>
  <conditionalFormatting sqref="A24:XFD24">
    <cfRule type="containsText" dxfId="536" priority="60" operator="containsText" text="TRUE">
      <formula>NOT(ISERROR(SEARCH("TRUE",A24)))</formula>
    </cfRule>
  </conditionalFormatting>
  <conditionalFormatting sqref="A25:XFD25">
    <cfRule type="containsText" dxfId="535" priority="59" operator="containsText" text="TRUE">
      <formula>NOT(ISERROR(SEARCH("TRUE",A25)))</formula>
    </cfRule>
  </conditionalFormatting>
  <conditionalFormatting sqref="A26:XFD26">
    <cfRule type="containsText" dxfId="534" priority="58" operator="containsText" text="TRUE">
      <formula>NOT(ISERROR(SEARCH("TRUE",A26)))</formula>
    </cfRule>
  </conditionalFormatting>
  <conditionalFormatting sqref="A27:XFD27">
    <cfRule type="containsText" dxfId="533" priority="57" operator="containsText" text="TRUE">
      <formula>NOT(ISERROR(SEARCH("TRUE",A27)))</formula>
    </cfRule>
  </conditionalFormatting>
  <conditionalFormatting sqref="A28:XFD28">
    <cfRule type="containsText" dxfId="532" priority="56" operator="containsText" text="TRUE">
      <formula>NOT(ISERROR(SEARCH("TRUE",A28)))</formula>
    </cfRule>
  </conditionalFormatting>
  <conditionalFormatting sqref="A29:XFD29">
    <cfRule type="containsText" dxfId="531" priority="55" operator="containsText" text="TRUE">
      <formula>NOT(ISERROR(SEARCH("TRUE",A29)))</formula>
    </cfRule>
  </conditionalFormatting>
  <conditionalFormatting sqref="A30:XFD30">
    <cfRule type="containsText" dxfId="530" priority="54" operator="containsText" text="TRUE">
      <formula>NOT(ISERROR(SEARCH("TRUE",A30)))</formula>
    </cfRule>
  </conditionalFormatting>
  <conditionalFormatting sqref="A31:XFD31">
    <cfRule type="containsText" dxfId="529" priority="53" operator="containsText" text="TRUE">
      <formula>NOT(ISERROR(SEARCH("TRUE",A31)))</formula>
    </cfRule>
  </conditionalFormatting>
  <conditionalFormatting sqref="A32:XFD32">
    <cfRule type="containsText" dxfId="528" priority="52" operator="containsText" text="TRUE">
      <formula>NOT(ISERROR(SEARCH("TRUE",A32)))</formula>
    </cfRule>
  </conditionalFormatting>
  <conditionalFormatting sqref="A33:XFD33">
    <cfRule type="containsText" dxfId="527" priority="51" operator="containsText" text="TRUE">
      <formula>NOT(ISERROR(SEARCH("TRUE",A33)))</formula>
    </cfRule>
  </conditionalFormatting>
  <conditionalFormatting sqref="A34:XFD34">
    <cfRule type="containsText" dxfId="526" priority="50" operator="containsText" text="TRUE">
      <formula>NOT(ISERROR(SEARCH("TRUE",A34)))</formula>
    </cfRule>
  </conditionalFormatting>
  <conditionalFormatting sqref="A35:XFD35">
    <cfRule type="containsText" dxfId="525" priority="49" operator="containsText" text="TRUE">
      <formula>NOT(ISERROR(SEARCH("TRUE",A35)))</formula>
    </cfRule>
  </conditionalFormatting>
  <conditionalFormatting sqref="A36:XFD36">
    <cfRule type="containsText" dxfId="524" priority="48" operator="containsText" text="TRUE">
      <formula>NOT(ISERROR(SEARCH("TRUE",A36)))</formula>
    </cfRule>
  </conditionalFormatting>
  <conditionalFormatting sqref="A37:XFD37">
    <cfRule type="containsText" dxfId="523" priority="47" operator="containsText" text="TRUE">
      <formula>NOT(ISERROR(SEARCH("TRUE",A37)))</formula>
    </cfRule>
  </conditionalFormatting>
  <conditionalFormatting sqref="A38:XFD38">
    <cfRule type="containsText" dxfId="522" priority="46" operator="containsText" text="TRUE">
      <formula>NOT(ISERROR(SEARCH("TRUE",A38)))</formula>
    </cfRule>
  </conditionalFormatting>
  <conditionalFormatting sqref="A39:XFD39">
    <cfRule type="containsText" dxfId="521" priority="45" operator="containsText" text="TRUE">
      <formula>NOT(ISERROR(SEARCH("TRUE",A39)))</formula>
    </cfRule>
  </conditionalFormatting>
  <conditionalFormatting sqref="A40:XFD40">
    <cfRule type="containsText" dxfId="520" priority="44" operator="containsText" text="TRUE">
      <formula>NOT(ISERROR(SEARCH("TRUE",A40)))</formula>
    </cfRule>
  </conditionalFormatting>
  <conditionalFormatting sqref="A41:XFD41">
    <cfRule type="containsText" dxfId="519" priority="43" operator="containsText" text="TRUE">
      <formula>NOT(ISERROR(SEARCH("TRUE",A41)))</formula>
    </cfRule>
  </conditionalFormatting>
  <conditionalFormatting sqref="A42:XFD42">
    <cfRule type="containsText" dxfId="518" priority="42" operator="containsText" text="TRUE">
      <formula>NOT(ISERROR(SEARCH("TRUE",A42)))</formula>
    </cfRule>
  </conditionalFormatting>
  <conditionalFormatting sqref="A43:XFD43">
    <cfRule type="containsText" dxfId="517" priority="41" operator="containsText" text="TRUE">
      <formula>NOT(ISERROR(SEARCH("TRUE",A43)))</formula>
    </cfRule>
  </conditionalFormatting>
  <conditionalFormatting sqref="A44:XFD44">
    <cfRule type="containsText" dxfId="516" priority="40" operator="containsText" text="TRUE">
      <formula>NOT(ISERROR(SEARCH("TRUE",A44)))</formula>
    </cfRule>
  </conditionalFormatting>
  <conditionalFormatting sqref="A45:XFD45">
    <cfRule type="containsText" dxfId="515" priority="39" operator="containsText" text="TRUE">
      <formula>NOT(ISERROR(SEARCH("TRUE",A45)))</formula>
    </cfRule>
  </conditionalFormatting>
  <conditionalFormatting sqref="A46:XFD46">
    <cfRule type="containsText" dxfId="514" priority="38" operator="containsText" text="TRUE">
      <formula>NOT(ISERROR(SEARCH("TRUE",A46)))</formula>
    </cfRule>
  </conditionalFormatting>
  <conditionalFormatting sqref="A47:XFD47">
    <cfRule type="containsText" dxfId="513" priority="37" operator="containsText" text="TRUE">
      <formula>NOT(ISERROR(SEARCH("TRUE",A47)))</formula>
    </cfRule>
  </conditionalFormatting>
  <conditionalFormatting sqref="A48:XFD48">
    <cfRule type="containsText" dxfId="512" priority="36" operator="containsText" text="TRUE">
      <formula>NOT(ISERROR(SEARCH("TRUE",A48)))</formula>
    </cfRule>
  </conditionalFormatting>
  <conditionalFormatting sqref="A49:XFD49">
    <cfRule type="containsText" dxfId="511" priority="35" operator="containsText" text="TRUE">
      <formula>NOT(ISERROR(SEARCH("TRUE",A49)))</formula>
    </cfRule>
  </conditionalFormatting>
  <conditionalFormatting sqref="A50:XFD50">
    <cfRule type="containsText" dxfId="510" priority="34" operator="containsText" text="TRUE">
      <formula>NOT(ISERROR(SEARCH("TRUE",A50)))</formula>
    </cfRule>
  </conditionalFormatting>
  <conditionalFormatting sqref="A51:XFD51">
    <cfRule type="containsText" dxfId="509" priority="33" operator="containsText" text="TRUE">
      <formula>NOT(ISERROR(SEARCH("TRUE",A51)))</formula>
    </cfRule>
  </conditionalFormatting>
  <conditionalFormatting sqref="A52:XFD52">
    <cfRule type="containsText" dxfId="508" priority="32" operator="containsText" text="TRUE">
      <formula>NOT(ISERROR(SEARCH("TRUE",A52)))</formula>
    </cfRule>
  </conditionalFormatting>
  <conditionalFormatting sqref="A53:XFD53">
    <cfRule type="containsText" dxfId="507" priority="31" operator="containsText" text="TRUE">
      <formula>NOT(ISERROR(SEARCH("TRUE",A53)))</formula>
    </cfRule>
  </conditionalFormatting>
  <conditionalFormatting sqref="A54:XFD54">
    <cfRule type="containsText" dxfId="506" priority="30" operator="containsText" text="TRUE">
      <formula>NOT(ISERROR(SEARCH("TRUE",A54)))</formula>
    </cfRule>
  </conditionalFormatting>
  <conditionalFormatting sqref="A55:XFD55">
    <cfRule type="containsText" dxfId="505" priority="29" operator="containsText" text="TRUE">
      <formula>NOT(ISERROR(SEARCH("TRUE",A55)))</formula>
    </cfRule>
  </conditionalFormatting>
  <conditionalFormatting sqref="A56:XFD56">
    <cfRule type="containsText" dxfId="504" priority="28" operator="containsText" text="TRUE">
      <formula>NOT(ISERROR(SEARCH("TRUE",A56)))</formula>
    </cfRule>
  </conditionalFormatting>
  <conditionalFormatting sqref="A57:XFD57">
    <cfRule type="containsText" dxfId="503" priority="27" operator="containsText" text="TRUE">
      <formula>NOT(ISERROR(SEARCH("TRUE",A57)))</formula>
    </cfRule>
  </conditionalFormatting>
  <conditionalFormatting sqref="A58:XFD58">
    <cfRule type="containsText" dxfId="502" priority="26" operator="containsText" text="TRUE">
      <formula>NOT(ISERROR(SEARCH("TRUE",A58)))</formula>
    </cfRule>
  </conditionalFormatting>
  <conditionalFormatting sqref="A59:XFD59">
    <cfRule type="containsText" dxfId="501" priority="25" operator="containsText" text="TRUE">
      <formula>NOT(ISERROR(SEARCH("TRUE",A59)))</formula>
    </cfRule>
  </conditionalFormatting>
  <conditionalFormatting sqref="A60:XFD60">
    <cfRule type="containsText" dxfId="500" priority="24" operator="containsText" text="TRUE">
      <formula>NOT(ISERROR(SEARCH("TRUE",A60)))</formula>
    </cfRule>
  </conditionalFormatting>
  <conditionalFormatting sqref="A61:XFD61">
    <cfRule type="containsText" dxfId="499" priority="23" operator="containsText" text="TRUE">
      <formula>NOT(ISERROR(SEARCH("TRUE",A61)))</formula>
    </cfRule>
  </conditionalFormatting>
  <conditionalFormatting sqref="A62:XFD62">
    <cfRule type="containsText" dxfId="498" priority="22" operator="containsText" text="TRUE">
      <formula>NOT(ISERROR(SEARCH("TRUE",A62)))</formula>
    </cfRule>
  </conditionalFormatting>
  <conditionalFormatting sqref="A63:XFD63">
    <cfRule type="containsText" dxfId="497" priority="21" operator="containsText" text="TRUE">
      <formula>NOT(ISERROR(SEARCH("TRUE",A63)))</formula>
    </cfRule>
  </conditionalFormatting>
  <conditionalFormatting sqref="A64:XFD64">
    <cfRule type="containsText" dxfId="496" priority="20" operator="containsText" text="TRUE">
      <formula>NOT(ISERROR(SEARCH("TRUE",A64)))</formula>
    </cfRule>
  </conditionalFormatting>
  <conditionalFormatting sqref="A65:XFD65">
    <cfRule type="containsText" dxfId="495" priority="19" operator="containsText" text="TRUE">
      <formula>NOT(ISERROR(SEARCH("TRUE",A65)))</formula>
    </cfRule>
  </conditionalFormatting>
  <conditionalFormatting sqref="A66:XFD66">
    <cfRule type="containsText" dxfId="494" priority="18" operator="containsText" text="TRUE">
      <formula>NOT(ISERROR(SEARCH("TRUE",A66)))</formula>
    </cfRule>
  </conditionalFormatting>
  <conditionalFormatting sqref="A67:XFD67">
    <cfRule type="containsText" dxfId="493" priority="17" operator="containsText" text="TRUE">
      <formula>NOT(ISERROR(SEARCH("TRUE",A67)))</formula>
    </cfRule>
  </conditionalFormatting>
  <conditionalFormatting sqref="A68:XFD68">
    <cfRule type="containsText" dxfId="492" priority="16" operator="containsText" text="TRUE">
      <formula>NOT(ISERROR(SEARCH("TRUE",A68)))</formula>
    </cfRule>
  </conditionalFormatting>
  <conditionalFormatting sqref="A69:XFD69">
    <cfRule type="containsText" dxfId="491" priority="15" operator="containsText" text="TRUE">
      <formula>NOT(ISERROR(SEARCH("TRUE",A69)))</formula>
    </cfRule>
  </conditionalFormatting>
  <conditionalFormatting sqref="A70:XFD70">
    <cfRule type="containsText" dxfId="490" priority="14" operator="containsText" text="TRUE">
      <formula>NOT(ISERROR(SEARCH("TRUE",A70)))</formula>
    </cfRule>
  </conditionalFormatting>
  <conditionalFormatting sqref="A71:XFD71">
    <cfRule type="containsText" dxfId="489" priority="13" operator="containsText" text="TRUE">
      <formula>NOT(ISERROR(SEARCH("TRUE",A71)))</formula>
    </cfRule>
  </conditionalFormatting>
  <conditionalFormatting sqref="A72:XFD72">
    <cfRule type="containsText" dxfId="488" priority="12" operator="containsText" text="TRUE">
      <formula>NOT(ISERROR(SEARCH("TRUE",A72)))</formula>
    </cfRule>
  </conditionalFormatting>
  <conditionalFormatting sqref="A73:XFD73">
    <cfRule type="containsText" dxfId="487" priority="11" operator="containsText" text="TRUE">
      <formula>NOT(ISERROR(SEARCH("TRUE",A73)))</formula>
    </cfRule>
  </conditionalFormatting>
  <conditionalFormatting sqref="A74:XFD74">
    <cfRule type="containsText" dxfId="486" priority="10" operator="containsText" text="TRUE">
      <formula>NOT(ISERROR(SEARCH("TRUE",A74)))</formula>
    </cfRule>
  </conditionalFormatting>
  <conditionalFormatting sqref="A75:XFD75">
    <cfRule type="containsText" dxfId="485" priority="9" operator="containsText" text="TRUE">
      <formula>NOT(ISERROR(SEARCH("TRUE",A75)))</formula>
    </cfRule>
  </conditionalFormatting>
  <conditionalFormatting sqref="A76:XFD76">
    <cfRule type="containsText" dxfId="484" priority="8" operator="containsText" text="TRUE">
      <formula>NOT(ISERROR(SEARCH("TRUE",A76)))</formula>
    </cfRule>
  </conditionalFormatting>
  <conditionalFormatting sqref="A77:XFD77">
    <cfRule type="containsText" dxfId="483" priority="7" operator="containsText" text="TRUE">
      <formula>NOT(ISERROR(SEARCH("TRUE",A77)))</formula>
    </cfRule>
  </conditionalFormatting>
  <conditionalFormatting sqref="A78:XFD78">
    <cfRule type="containsText" dxfId="482" priority="6" operator="containsText" text="TRUE">
      <formula>NOT(ISERROR(SEARCH("TRUE",A78)))</formula>
    </cfRule>
  </conditionalFormatting>
  <conditionalFormatting sqref="A79:XFD79">
    <cfRule type="containsText" dxfId="481" priority="5" operator="containsText" text="TRUE">
      <formula>NOT(ISERROR(SEARCH("TRUE",A79)))</formula>
    </cfRule>
  </conditionalFormatting>
  <conditionalFormatting sqref="A80:XFD80">
    <cfRule type="containsText" dxfId="480" priority="4" operator="containsText" text="TRUE">
      <formula>NOT(ISERROR(SEARCH("TRUE",A80)))</formula>
    </cfRule>
  </conditionalFormatting>
  <conditionalFormatting sqref="A81:XFD81">
    <cfRule type="containsText" dxfId="479" priority="3" operator="containsText" text="TRUE">
      <formula>NOT(ISERROR(SEARCH("TRUE",A81)))</formula>
    </cfRule>
  </conditionalFormatting>
  <conditionalFormatting sqref="A82:XFD82">
    <cfRule type="containsText" dxfId="478" priority="2" operator="containsText" text="TRUE">
      <formula>NOT(ISERROR(SEARCH("TRUE",A82)))</formula>
    </cfRule>
  </conditionalFormatting>
  <conditionalFormatting sqref="A83:XFD83">
    <cfRule type="containsText" dxfId="477" priority="1" operator="containsText" text="TRUE">
      <formula>NOT(ISERROR(SEARCH("TRUE",A83)))</formula>
    </cfRule>
  </conditionalFormatting>
  <pageMargins left="0.7" right="0.7" top="0.75" bottom="0.75" header="0.3" footer="0.3"/>
  <pageSetup paperSize="9" scale="64" orientation="portrait" horizontalDpi="4294967292" r:id="rId1"/>
  <colBreaks count="1" manualBreakCount="1">
    <brk id="6" max="2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A5A2-EE78-42E7-BD1C-BC12182051A9}">
  <sheetPr>
    <tabColor theme="6" tint="0.39997558519241921"/>
    <pageSetUpPr fitToPage="1"/>
  </sheetPr>
  <dimension ref="B1:O67"/>
  <sheetViews>
    <sheetView tabSelected="1" zoomScale="85" zoomScaleNormal="85" workbookViewId="0">
      <pane xSplit="6" ySplit="6" topLeftCell="G56" activePane="bottomRight" state="frozen"/>
      <selection pane="topRight" activeCell="G1" sqref="G1"/>
      <selection pane="bottomLeft" activeCell="A7" sqref="A7"/>
      <selection pane="bottomRight" activeCell="H37" activeCellId="1" sqref="I59 H37"/>
    </sheetView>
  </sheetViews>
  <sheetFormatPr defaultColWidth="7" defaultRowHeight="13.5"/>
  <cols>
    <col min="1" max="1" width="1.125" style="143" customWidth="1"/>
    <col min="2" max="2" width="4" style="143" customWidth="1"/>
    <col min="3" max="3" width="12.375" style="143" customWidth="1"/>
    <col min="4" max="4" width="4" style="143" customWidth="1"/>
    <col min="5" max="5" width="12.75" style="143" customWidth="1"/>
    <col min="6" max="6" width="12.75" style="143" bestFit="1" customWidth="1"/>
    <col min="7" max="7" width="15.75" style="143" bestFit="1" customWidth="1"/>
    <col min="8" max="8" width="15.25" style="143" bestFit="1" customWidth="1"/>
    <col min="9" max="10" width="15.75" style="143" bestFit="1" customWidth="1"/>
    <col min="11" max="11" width="14.75" style="143" customWidth="1"/>
    <col min="12" max="13" width="12.625" style="143" bestFit="1" customWidth="1"/>
    <col min="14" max="14" width="1" style="143" customWidth="1"/>
    <col min="15" max="15" width="6.25" style="143" bestFit="1" customWidth="1"/>
    <col min="16" max="16" width="20.125" style="143" bestFit="1" customWidth="1"/>
    <col min="17" max="17" width="16.5" style="143" customWidth="1"/>
    <col min="18" max="18" width="13.5" style="143" bestFit="1" customWidth="1"/>
    <col min="19" max="19" width="14.75" style="143" bestFit="1" customWidth="1"/>
    <col min="20" max="21" width="15.625" style="143" bestFit="1" customWidth="1"/>
    <col min="22" max="22" width="11.5" style="143" bestFit="1" customWidth="1"/>
    <col min="23" max="26" width="15.125" style="143" bestFit="1" customWidth="1"/>
    <col min="27" max="253" width="7" style="143"/>
    <col min="254" max="254" width="9.625" style="143" customWidth="1"/>
    <col min="255" max="255" width="4" style="143" customWidth="1"/>
    <col min="256" max="256" width="11.25" style="143" customWidth="1"/>
    <col min="257" max="257" width="4" style="143" customWidth="1"/>
    <col min="258" max="258" width="11.625" style="143" customWidth="1"/>
    <col min="259" max="259" width="4" style="143" customWidth="1"/>
    <col min="260" max="263" width="17.25" style="143" customWidth="1"/>
    <col min="264" max="264" width="6.75" style="143" customWidth="1"/>
    <col min="265" max="265" width="8.75" style="143" customWidth="1"/>
    <col min="266" max="266" width="7" style="143" customWidth="1"/>
    <col min="267" max="267" width="12.125" style="143" customWidth="1"/>
    <col min="268" max="509" width="7" style="143"/>
    <col min="510" max="510" width="9.625" style="143" customWidth="1"/>
    <col min="511" max="511" width="4" style="143" customWidth="1"/>
    <col min="512" max="512" width="11.25" style="143" customWidth="1"/>
    <col min="513" max="513" width="4" style="143" customWidth="1"/>
    <col min="514" max="514" width="11.625" style="143" customWidth="1"/>
    <col min="515" max="515" width="4" style="143" customWidth="1"/>
    <col min="516" max="519" width="17.25" style="143" customWidth="1"/>
    <col min="520" max="520" width="6.75" style="143" customWidth="1"/>
    <col min="521" max="521" width="8.75" style="143" customWidth="1"/>
    <col min="522" max="522" width="7" style="143" customWidth="1"/>
    <col min="523" max="523" width="12.125" style="143" customWidth="1"/>
    <col min="524" max="765" width="7" style="143"/>
    <col min="766" max="766" width="9.625" style="143" customWidth="1"/>
    <col min="767" max="767" width="4" style="143" customWidth="1"/>
    <col min="768" max="768" width="11.25" style="143" customWidth="1"/>
    <col min="769" max="769" width="4" style="143" customWidth="1"/>
    <col min="770" max="770" width="11.625" style="143" customWidth="1"/>
    <col min="771" max="771" width="4" style="143" customWidth="1"/>
    <col min="772" max="775" width="17.25" style="143" customWidth="1"/>
    <col min="776" max="776" width="6.75" style="143" customWidth="1"/>
    <col min="777" max="777" width="8.75" style="143" customWidth="1"/>
    <col min="778" max="778" width="7" style="143" customWidth="1"/>
    <col min="779" max="779" width="12.125" style="143" customWidth="1"/>
    <col min="780" max="1021" width="7" style="143"/>
    <col min="1022" max="1022" width="9.625" style="143" customWidth="1"/>
    <col min="1023" max="1023" width="4" style="143" customWidth="1"/>
    <col min="1024" max="1024" width="11.25" style="143" customWidth="1"/>
    <col min="1025" max="1025" width="4" style="143" customWidth="1"/>
    <col min="1026" max="1026" width="11.625" style="143" customWidth="1"/>
    <col min="1027" max="1027" width="4" style="143" customWidth="1"/>
    <col min="1028" max="1031" width="17.25" style="143" customWidth="1"/>
    <col min="1032" max="1032" width="6.75" style="143" customWidth="1"/>
    <col min="1033" max="1033" width="8.75" style="143" customWidth="1"/>
    <col min="1034" max="1034" width="7" style="143" customWidth="1"/>
    <col min="1035" max="1035" width="12.125" style="143" customWidth="1"/>
    <col min="1036" max="1277" width="7" style="143"/>
    <col min="1278" max="1278" width="9.625" style="143" customWidth="1"/>
    <col min="1279" max="1279" width="4" style="143" customWidth="1"/>
    <col min="1280" max="1280" width="11.25" style="143" customWidth="1"/>
    <col min="1281" max="1281" width="4" style="143" customWidth="1"/>
    <col min="1282" max="1282" width="11.625" style="143" customWidth="1"/>
    <col min="1283" max="1283" width="4" style="143" customWidth="1"/>
    <col min="1284" max="1287" width="17.25" style="143" customWidth="1"/>
    <col min="1288" max="1288" width="6.75" style="143" customWidth="1"/>
    <col min="1289" max="1289" width="8.75" style="143" customWidth="1"/>
    <col min="1290" max="1290" width="7" style="143" customWidth="1"/>
    <col min="1291" max="1291" width="12.125" style="143" customWidth="1"/>
    <col min="1292" max="1533" width="7" style="143"/>
    <col min="1534" max="1534" width="9.625" style="143" customWidth="1"/>
    <col min="1535" max="1535" width="4" style="143" customWidth="1"/>
    <col min="1536" max="1536" width="11.25" style="143" customWidth="1"/>
    <col min="1537" max="1537" width="4" style="143" customWidth="1"/>
    <col min="1538" max="1538" width="11.625" style="143" customWidth="1"/>
    <col min="1539" max="1539" width="4" style="143" customWidth="1"/>
    <col min="1540" max="1543" width="17.25" style="143" customWidth="1"/>
    <col min="1544" max="1544" width="6.75" style="143" customWidth="1"/>
    <col min="1545" max="1545" width="8.75" style="143" customWidth="1"/>
    <col min="1546" max="1546" width="7" style="143" customWidth="1"/>
    <col min="1547" max="1547" width="12.125" style="143" customWidth="1"/>
    <col min="1548" max="1789" width="7" style="143"/>
    <col min="1790" max="1790" width="9.625" style="143" customWidth="1"/>
    <col min="1791" max="1791" width="4" style="143" customWidth="1"/>
    <col min="1792" max="1792" width="11.25" style="143" customWidth="1"/>
    <col min="1793" max="1793" width="4" style="143" customWidth="1"/>
    <col min="1794" max="1794" width="11.625" style="143" customWidth="1"/>
    <col min="1795" max="1795" width="4" style="143" customWidth="1"/>
    <col min="1796" max="1799" width="17.25" style="143" customWidth="1"/>
    <col min="1800" max="1800" width="6.75" style="143" customWidth="1"/>
    <col min="1801" max="1801" width="8.75" style="143" customWidth="1"/>
    <col min="1802" max="1802" width="7" style="143" customWidth="1"/>
    <col min="1803" max="1803" width="12.125" style="143" customWidth="1"/>
    <col min="1804" max="2045" width="7" style="143"/>
    <col min="2046" max="2046" width="9.625" style="143" customWidth="1"/>
    <col min="2047" max="2047" width="4" style="143" customWidth="1"/>
    <col min="2048" max="2048" width="11.25" style="143" customWidth="1"/>
    <col min="2049" max="2049" width="4" style="143" customWidth="1"/>
    <col min="2050" max="2050" width="11.625" style="143" customWidth="1"/>
    <col min="2051" max="2051" width="4" style="143" customWidth="1"/>
    <col min="2052" max="2055" width="17.25" style="143" customWidth="1"/>
    <col min="2056" max="2056" width="6.75" style="143" customWidth="1"/>
    <col min="2057" max="2057" width="8.75" style="143" customWidth="1"/>
    <col min="2058" max="2058" width="7" style="143" customWidth="1"/>
    <col min="2059" max="2059" width="12.125" style="143" customWidth="1"/>
    <col min="2060" max="2301" width="7" style="143"/>
    <col min="2302" max="2302" width="9.625" style="143" customWidth="1"/>
    <col min="2303" max="2303" width="4" style="143" customWidth="1"/>
    <col min="2304" max="2304" width="11.25" style="143" customWidth="1"/>
    <col min="2305" max="2305" width="4" style="143" customWidth="1"/>
    <col min="2306" max="2306" width="11.625" style="143" customWidth="1"/>
    <col min="2307" max="2307" width="4" style="143" customWidth="1"/>
    <col min="2308" max="2311" width="17.25" style="143" customWidth="1"/>
    <col min="2312" max="2312" width="6.75" style="143" customWidth="1"/>
    <col min="2313" max="2313" width="8.75" style="143" customWidth="1"/>
    <col min="2314" max="2314" width="7" style="143" customWidth="1"/>
    <col min="2315" max="2315" width="12.125" style="143" customWidth="1"/>
    <col min="2316" max="2557" width="7" style="143"/>
    <col min="2558" max="2558" width="9.625" style="143" customWidth="1"/>
    <col min="2559" max="2559" width="4" style="143" customWidth="1"/>
    <col min="2560" max="2560" width="11.25" style="143" customWidth="1"/>
    <col min="2561" max="2561" width="4" style="143" customWidth="1"/>
    <col min="2562" max="2562" width="11.625" style="143" customWidth="1"/>
    <col min="2563" max="2563" width="4" style="143" customWidth="1"/>
    <col min="2564" max="2567" width="17.25" style="143" customWidth="1"/>
    <col min="2568" max="2568" width="6.75" style="143" customWidth="1"/>
    <col min="2569" max="2569" width="8.75" style="143" customWidth="1"/>
    <col min="2570" max="2570" width="7" style="143" customWidth="1"/>
    <col min="2571" max="2571" width="12.125" style="143" customWidth="1"/>
    <col min="2572" max="2813" width="7" style="143"/>
    <col min="2814" max="2814" width="9.625" style="143" customWidth="1"/>
    <col min="2815" max="2815" width="4" style="143" customWidth="1"/>
    <col min="2816" max="2816" width="11.25" style="143" customWidth="1"/>
    <col min="2817" max="2817" width="4" style="143" customWidth="1"/>
    <col min="2818" max="2818" width="11.625" style="143" customWidth="1"/>
    <col min="2819" max="2819" width="4" style="143" customWidth="1"/>
    <col min="2820" max="2823" width="17.25" style="143" customWidth="1"/>
    <col min="2824" max="2824" width="6.75" style="143" customWidth="1"/>
    <col min="2825" max="2825" width="8.75" style="143" customWidth="1"/>
    <col min="2826" max="2826" width="7" style="143" customWidth="1"/>
    <col min="2827" max="2827" width="12.125" style="143" customWidth="1"/>
    <col min="2828" max="3069" width="7" style="143"/>
    <col min="3070" max="3070" width="9.625" style="143" customWidth="1"/>
    <col min="3071" max="3071" width="4" style="143" customWidth="1"/>
    <col min="3072" max="3072" width="11.25" style="143" customWidth="1"/>
    <col min="3073" max="3073" width="4" style="143" customWidth="1"/>
    <col min="3074" max="3074" width="11.625" style="143" customWidth="1"/>
    <col min="3075" max="3075" width="4" style="143" customWidth="1"/>
    <col min="3076" max="3079" width="17.25" style="143" customWidth="1"/>
    <col min="3080" max="3080" width="6.75" style="143" customWidth="1"/>
    <col min="3081" max="3081" width="8.75" style="143" customWidth="1"/>
    <col min="3082" max="3082" width="7" style="143" customWidth="1"/>
    <col min="3083" max="3083" width="12.125" style="143" customWidth="1"/>
    <col min="3084" max="3325" width="7" style="143"/>
    <col min="3326" max="3326" width="9.625" style="143" customWidth="1"/>
    <col min="3327" max="3327" width="4" style="143" customWidth="1"/>
    <col min="3328" max="3328" width="11.25" style="143" customWidth="1"/>
    <col min="3329" max="3329" width="4" style="143" customWidth="1"/>
    <col min="3330" max="3330" width="11.625" style="143" customWidth="1"/>
    <col min="3331" max="3331" width="4" style="143" customWidth="1"/>
    <col min="3332" max="3335" width="17.25" style="143" customWidth="1"/>
    <col min="3336" max="3336" width="6.75" style="143" customWidth="1"/>
    <col min="3337" max="3337" width="8.75" style="143" customWidth="1"/>
    <col min="3338" max="3338" width="7" style="143" customWidth="1"/>
    <col min="3339" max="3339" width="12.125" style="143" customWidth="1"/>
    <col min="3340" max="3581" width="7" style="143"/>
    <col min="3582" max="3582" width="9.625" style="143" customWidth="1"/>
    <col min="3583" max="3583" width="4" style="143" customWidth="1"/>
    <col min="3584" max="3584" width="11.25" style="143" customWidth="1"/>
    <col min="3585" max="3585" width="4" style="143" customWidth="1"/>
    <col min="3586" max="3586" width="11.625" style="143" customWidth="1"/>
    <col min="3587" max="3587" width="4" style="143" customWidth="1"/>
    <col min="3588" max="3591" width="17.25" style="143" customWidth="1"/>
    <col min="3592" max="3592" width="6.75" style="143" customWidth="1"/>
    <col min="3593" max="3593" width="8.75" style="143" customWidth="1"/>
    <col min="3594" max="3594" width="7" style="143" customWidth="1"/>
    <col min="3595" max="3595" width="12.125" style="143" customWidth="1"/>
    <col min="3596" max="3837" width="7" style="143"/>
    <col min="3838" max="3838" width="9.625" style="143" customWidth="1"/>
    <col min="3839" max="3839" width="4" style="143" customWidth="1"/>
    <col min="3840" max="3840" width="11.25" style="143" customWidth="1"/>
    <col min="3841" max="3841" width="4" style="143" customWidth="1"/>
    <col min="3842" max="3842" width="11.625" style="143" customWidth="1"/>
    <col min="3843" max="3843" width="4" style="143" customWidth="1"/>
    <col min="3844" max="3847" width="17.25" style="143" customWidth="1"/>
    <col min="3848" max="3848" width="6.75" style="143" customWidth="1"/>
    <col min="3849" max="3849" width="8.75" style="143" customWidth="1"/>
    <col min="3850" max="3850" width="7" style="143" customWidth="1"/>
    <col min="3851" max="3851" width="12.125" style="143" customWidth="1"/>
    <col min="3852" max="4093" width="7" style="143"/>
    <col min="4094" max="4094" width="9.625" style="143" customWidth="1"/>
    <col min="4095" max="4095" width="4" style="143" customWidth="1"/>
    <col min="4096" max="4096" width="11.25" style="143" customWidth="1"/>
    <col min="4097" max="4097" width="4" style="143" customWidth="1"/>
    <col min="4098" max="4098" width="11.625" style="143" customWidth="1"/>
    <col min="4099" max="4099" width="4" style="143" customWidth="1"/>
    <col min="4100" max="4103" width="17.25" style="143" customWidth="1"/>
    <col min="4104" max="4104" width="6.75" style="143" customWidth="1"/>
    <col min="4105" max="4105" width="8.75" style="143" customWidth="1"/>
    <col min="4106" max="4106" width="7" style="143" customWidth="1"/>
    <col min="4107" max="4107" width="12.125" style="143" customWidth="1"/>
    <col min="4108" max="4349" width="7" style="143"/>
    <col min="4350" max="4350" width="9.625" style="143" customWidth="1"/>
    <col min="4351" max="4351" width="4" style="143" customWidth="1"/>
    <col min="4352" max="4352" width="11.25" style="143" customWidth="1"/>
    <col min="4353" max="4353" width="4" style="143" customWidth="1"/>
    <col min="4354" max="4354" width="11.625" style="143" customWidth="1"/>
    <col min="4355" max="4355" width="4" style="143" customWidth="1"/>
    <col min="4356" max="4359" width="17.25" style="143" customWidth="1"/>
    <col min="4360" max="4360" width="6.75" style="143" customWidth="1"/>
    <col min="4361" max="4361" width="8.75" style="143" customWidth="1"/>
    <col min="4362" max="4362" width="7" style="143" customWidth="1"/>
    <col min="4363" max="4363" width="12.125" style="143" customWidth="1"/>
    <col min="4364" max="4605" width="7" style="143"/>
    <col min="4606" max="4606" width="9.625" style="143" customWidth="1"/>
    <col min="4607" max="4607" width="4" style="143" customWidth="1"/>
    <col min="4608" max="4608" width="11.25" style="143" customWidth="1"/>
    <col min="4609" max="4609" width="4" style="143" customWidth="1"/>
    <col min="4610" max="4610" width="11.625" style="143" customWidth="1"/>
    <col min="4611" max="4611" width="4" style="143" customWidth="1"/>
    <col min="4612" max="4615" width="17.25" style="143" customWidth="1"/>
    <col min="4616" max="4616" width="6.75" style="143" customWidth="1"/>
    <col min="4617" max="4617" width="8.75" style="143" customWidth="1"/>
    <col min="4618" max="4618" width="7" style="143" customWidth="1"/>
    <col min="4619" max="4619" width="12.125" style="143" customWidth="1"/>
    <col min="4620" max="4861" width="7" style="143"/>
    <col min="4862" max="4862" width="9.625" style="143" customWidth="1"/>
    <col min="4863" max="4863" width="4" style="143" customWidth="1"/>
    <col min="4864" max="4864" width="11.25" style="143" customWidth="1"/>
    <col min="4865" max="4865" width="4" style="143" customWidth="1"/>
    <col min="4866" max="4866" width="11.625" style="143" customWidth="1"/>
    <col min="4867" max="4867" width="4" style="143" customWidth="1"/>
    <col min="4868" max="4871" width="17.25" style="143" customWidth="1"/>
    <col min="4872" max="4872" width="6.75" style="143" customWidth="1"/>
    <col min="4873" max="4873" width="8.75" style="143" customWidth="1"/>
    <col min="4874" max="4874" width="7" style="143" customWidth="1"/>
    <col min="4875" max="4875" width="12.125" style="143" customWidth="1"/>
    <col min="4876" max="5117" width="7" style="143"/>
    <col min="5118" max="5118" width="9.625" style="143" customWidth="1"/>
    <col min="5119" max="5119" width="4" style="143" customWidth="1"/>
    <col min="5120" max="5120" width="11.25" style="143" customWidth="1"/>
    <col min="5121" max="5121" width="4" style="143" customWidth="1"/>
    <col min="5122" max="5122" width="11.625" style="143" customWidth="1"/>
    <col min="5123" max="5123" width="4" style="143" customWidth="1"/>
    <col min="5124" max="5127" width="17.25" style="143" customWidth="1"/>
    <col min="5128" max="5128" width="6.75" style="143" customWidth="1"/>
    <col min="5129" max="5129" width="8.75" style="143" customWidth="1"/>
    <col min="5130" max="5130" width="7" style="143" customWidth="1"/>
    <col min="5131" max="5131" width="12.125" style="143" customWidth="1"/>
    <col min="5132" max="5373" width="7" style="143"/>
    <col min="5374" max="5374" width="9.625" style="143" customWidth="1"/>
    <col min="5375" max="5375" width="4" style="143" customWidth="1"/>
    <col min="5376" max="5376" width="11.25" style="143" customWidth="1"/>
    <col min="5377" max="5377" width="4" style="143" customWidth="1"/>
    <col min="5378" max="5378" width="11.625" style="143" customWidth="1"/>
    <col min="5379" max="5379" width="4" style="143" customWidth="1"/>
    <col min="5380" max="5383" width="17.25" style="143" customWidth="1"/>
    <col min="5384" max="5384" width="6.75" style="143" customWidth="1"/>
    <col min="5385" max="5385" width="8.75" style="143" customWidth="1"/>
    <col min="5386" max="5386" width="7" style="143" customWidth="1"/>
    <col min="5387" max="5387" width="12.125" style="143" customWidth="1"/>
    <col min="5388" max="5629" width="7" style="143"/>
    <col min="5630" max="5630" width="9.625" style="143" customWidth="1"/>
    <col min="5631" max="5631" width="4" style="143" customWidth="1"/>
    <col min="5632" max="5632" width="11.25" style="143" customWidth="1"/>
    <col min="5633" max="5633" width="4" style="143" customWidth="1"/>
    <col min="5634" max="5634" width="11.625" style="143" customWidth="1"/>
    <col min="5635" max="5635" width="4" style="143" customWidth="1"/>
    <col min="5636" max="5639" width="17.25" style="143" customWidth="1"/>
    <col min="5640" max="5640" width="6.75" style="143" customWidth="1"/>
    <col min="5641" max="5641" width="8.75" style="143" customWidth="1"/>
    <col min="5642" max="5642" width="7" style="143" customWidth="1"/>
    <col min="5643" max="5643" width="12.125" style="143" customWidth="1"/>
    <col min="5644" max="5885" width="7" style="143"/>
    <col min="5886" max="5886" width="9.625" style="143" customWidth="1"/>
    <col min="5887" max="5887" width="4" style="143" customWidth="1"/>
    <col min="5888" max="5888" width="11.25" style="143" customWidth="1"/>
    <col min="5889" max="5889" width="4" style="143" customWidth="1"/>
    <col min="5890" max="5890" width="11.625" style="143" customWidth="1"/>
    <col min="5891" max="5891" width="4" style="143" customWidth="1"/>
    <col min="5892" max="5895" width="17.25" style="143" customWidth="1"/>
    <col min="5896" max="5896" width="6.75" style="143" customWidth="1"/>
    <col min="5897" max="5897" width="8.75" style="143" customWidth="1"/>
    <col min="5898" max="5898" width="7" style="143" customWidth="1"/>
    <col min="5899" max="5899" width="12.125" style="143" customWidth="1"/>
    <col min="5900" max="6141" width="7" style="143"/>
    <col min="6142" max="6142" width="9.625" style="143" customWidth="1"/>
    <col min="6143" max="6143" width="4" style="143" customWidth="1"/>
    <col min="6144" max="6144" width="11.25" style="143" customWidth="1"/>
    <col min="6145" max="6145" width="4" style="143" customWidth="1"/>
    <col min="6146" max="6146" width="11.625" style="143" customWidth="1"/>
    <col min="6147" max="6147" width="4" style="143" customWidth="1"/>
    <col min="6148" max="6151" width="17.25" style="143" customWidth="1"/>
    <col min="6152" max="6152" width="6.75" style="143" customWidth="1"/>
    <col min="6153" max="6153" width="8.75" style="143" customWidth="1"/>
    <col min="6154" max="6154" width="7" style="143" customWidth="1"/>
    <col min="6155" max="6155" width="12.125" style="143" customWidth="1"/>
    <col min="6156" max="6397" width="7" style="143"/>
    <col min="6398" max="6398" width="9.625" style="143" customWidth="1"/>
    <col min="6399" max="6399" width="4" style="143" customWidth="1"/>
    <col min="6400" max="6400" width="11.25" style="143" customWidth="1"/>
    <col min="6401" max="6401" width="4" style="143" customWidth="1"/>
    <col min="6402" max="6402" width="11.625" style="143" customWidth="1"/>
    <col min="6403" max="6403" width="4" style="143" customWidth="1"/>
    <col min="6404" max="6407" width="17.25" style="143" customWidth="1"/>
    <col min="6408" max="6408" width="6.75" style="143" customWidth="1"/>
    <col min="6409" max="6409" width="8.75" style="143" customWidth="1"/>
    <col min="6410" max="6410" width="7" style="143" customWidth="1"/>
    <col min="6411" max="6411" width="12.125" style="143" customWidth="1"/>
    <col min="6412" max="6653" width="7" style="143"/>
    <col min="6654" max="6654" width="9.625" style="143" customWidth="1"/>
    <col min="6655" max="6655" width="4" style="143" customWidth="1"/>
    <col min="6656" max="6656" width="11.25" style="143" customWidth="1"/>
    <col min="6657" max="6657" width="4" style="143" customWidth="1"/>
    <col min="6658" max="6658" width="11.625" style="143" customWidth="1"/>
    <col min="6659" max="6659" width="4" style="143" customWidth="1"/>
    <col min="6660" max="6663" width="17.25" style="143" customWidth="1"/>
    <col min="6664" max="6664" width="6.75" style="143" customWidth="1"/>
    <col min="6665" max="6665" width="8.75" style="143" customWidth="1"/>
    <col min="6666" max="6666" width="7" style="143" customWidth="1"/>
    <col min="6667" max="6667" width="12.125" style="143" customWidth="1"/>
    <col min="6668" max="6909" width="7" style="143"/>
    <col min="6910" max="6910" width="9.625" style="143" customWidth="1"/>
    <col min="6911" max="6911" width="4" style="143" customWidth="1"/>
    <col min="6912" max="6912" width="11.25" style="143" customWidth="1"/>
    <col min="6913" max="6913" width="4" style="143" customWidth="1"/>
    <col min="6914" max="6914" width="11.625" style="143" customWidth="1"/>
    <col min="6915" max="6915" width="4" style="143" customWidth="1"/>
    <col min="6916" max="6919" width="17.25" style="143" customWidth="1"/>
    <col min="6920" max="6920" width="6.75" style="143" customWidth="1"/>
    <col min="6921" max="6921" width="8.75" style="143" customWidth="1"/>
    <col min="6922" max="6922" width="7" style="143" customWidth="1"/>
    <col min="6923" max="6923" width="12.125" style="143" customWidth="1"/>
    <col min="6924" max="7165" width="7" style="143"/>
    <col min="7166" max="7166" width="9.625" style="143" customWidth="1"/>
    <col min="7167" max="7167" width="4" style="143" customWidth="1"/>
    <col min="7168" max="7168" width="11.25" style="143" customWidth="1"/>
    <col min="7169" max="7169" width="4" style="143" customWidth="1"/>
    <col min="7170" max="7170" width="11.625" style="143" customWidth="1"/>
    <col min="7171" max="7171" width="4" style="143" customWidth="1"/>
    <col min="7172" max="7175" width="17.25" style="143" customWidth="1"/>
    <col min="7176" max="7176" width="6.75" style="143" customWidth="1"/>
    <col min="7177" max="7177" width="8.75" style="143" customWidth="1"/>
    <col min="7178" max="7178" width="7" style="143" customWidth="1"/>
    <col min="7179" max="7179" width="12.125" style="143" customWidth="1"/>
    <col min="7180" max="7421" width="7" style="143"/>
    <col min="7422" max="7422" width="9.625" style="143" customWidth="1"/>
    <col min="7423" max="7423" width="4" style="143" customWidth="1"/>
    <col min="7424" max="7424" width="11.25" style="143" customWidth="1"/>
    <col min="7425" max="7425" width="4" style="143" customWidth="1"/>
    <col min="7426" max="7426" width="11.625" style="143" customWidth="1"/>
    <col min="7427" max="7427" width="4" style="143" customWidth="1"/>
    <col min="7428" max="7431" width="17.25" style="143" customWidth="1"/>
    <col min="7432" max="7432" width="6.75" style="143" customWidth="1"/>
    <col min="7433" max="7433" width="8.75" style="143" customWidth="1"/>
    <col min="7434" max="7434" width="7" style="143" customWidth="1"/>
    <col min="7435" max="7435" width="12.125" style="143" customWidth="1"/>
    <col min="7436" max="7677" width="7" style="143"/>
    <col min="7678" max="7678" width="9.625" style="143" customWidth="1"/>
    <col min="7679" max="7679" width="4" style="143" customWidth="1"/>
    <col min="7680" max="7680" width="11.25" style="143" customWidth="1"/>
    <col min="7681" max="7681" width="4" style="143" customWidth="1"/>
    <col min="7682" max="7682" width="11.625" style="143" customWidth="1"/>
    <col min="7683" max="7683" width="4" style="143" customWidth="1"/>
    <col min="7684" max="7687" width="17.25" style="143" customWidth="1"/>
    <col min="7688" max="7688" width="6.75" style="143" customWidth="1"/>
    <col min="7689" max="7689" width="8.75" style="143" customWidth="1"/>
    <col min="7690" max="7690" width="7" style="143" customWidth="1"/>
    <col min="7691" max="7691" width="12.125" style="143" customWidth="1"/>
    <col min="7692" max="7933" width="7" style="143"/>
    <col min="7934" max="7934" width="9.625" style="143" customWidth="1"/>
    <col min="7935" max="7935" width="4" style="143" customWidth="1"/>
    <col min="7936" max="7936" width="11.25" style="143" customWidth="1"/>
    <col min="7937" max="7937" width="4" style="143" customWidth="1"/>
    <col min="7938" max="7938" width="11.625" style="143" customWidth="1"/>
    <col min="7939" max="7939" width="4" style="143" customWidth="1"/>
    <col min="7940" max="7943" width="17.25" style="143" customWidth="1"/>
    <col min="7944" max="7944" width="6.75" style="143" customWidth="1"/>
    <col min="7945" max="7945" width="8.75" style="143" customWidth="1"/>
    <col min="7946" max="7946" width="7" style="143" customWidth="1"/>
    <col min="7947" max="7947" width="12.125" style="143" customWidth="1"/>
    <col min="7948" max="8189" width="7" style="143"/>
    <col min="8190" max="8190" width="9.625" style="143" customWidth="1"/>
    <col min="8191" max="8191" width="4" style="143" customWidth="1"/>
    <col min="8192" max="8192" width="11.25" style="143" customWidth="1"/>
    <col min="8193" max="8193" width="4" style="143" customWidth="1"/>
    <col min="8194" max="8194" width="11.625" style="143" customWidth="1"/>
    <col min="8195" max="8195" width="4" style="143" customWidth="1"/>
    <col min="8196" max="8199" width="17.25" style="143" customWidth="1"/>
    <col min="8200" max="8200" width="6.75" style="143" customWidth="1"/>
    <col min="8201" max="8201" width="8.75" style="143" customWidth="1"/>
    <col min="8202" max="8202" width="7" style="143" customWidth="1"/>
    <col min="8203" max="8203" width="12.125" style="143" customWidth="1"/>
    <col min="8204" max="8445" width="7" style="143"/>
    <col min="8446" max="8446" width="9.625" style="143" customWidth="1"/>
    <col min="8447" max="8447" width="4" style="143" customWidth="1"/>
    <col min="8448" max="8448" width="11.25" style="143" customWidth="1"/>
    <col min="8449" max="8449" width="4" style="143" customWidth="1"/>
    <col min="8450" max="8450" width="11.625" style="143" customWidth="1"/>
    <col min="8451" max="8451" width="4" style="143" customWidth="1"/>
    <col min="8452" max="8455" width="17.25" style="143" customWidth="1"/>
    <col min="8456" max="8456" width="6.75" style="143" customWidth="1"/>
    <col min="8457" max="8457" width="8.75" style="143" customWidth="1"/>
    <col min="8458" max="8458" width="7" style="143" customWidth="1"/>
    <col min="8459" max="8459" width="12.125" style="143" customWidth="1"/>
    <col min="8460" max="8701" width="7" style="143"/>
    <col min="8702" max="8702" width="9.625" style="143" customWidth="1"/>
    <col min="8703" max="8703" width="4" style="143" customWidth="1"/>
    <col min="8704" max="8704" width="11.25" style="143" customWidth="1"/>
    <col min="8705" max="8705" width="4" style="143" customWidth="1"/>
    <col min="8706" max="8706" width="11.625" style="143" customWidth="1"/>
    <col min="8707" max="8707" width="4" style="143" customWidth="1"/>
    <col min="8708" max="8711" width="17.25" style="143" customWidth="1"/>
    <col min="8712" max="8712" width="6.75" style="143" customWidth="1"/>
    <col min="8713" max="8713" width="8.75" style="143" customWidth="1"/>
    <col min="8714" max="8714" width="7" style="143" customWidth="1"/>
    <col min="8715" max="8715" width="12.125" style="143" customWidth="1"/>
    <col min="8716" max="8957" width="7" style="143"/>
    <col min="8958" max="8958" width="9.625" style="143" customWidth="1"/>
    <col min="8959" max="8959" width="4" style="143" customWidth="1"/>
    <col min="8960" max="8960" width="11.25" style="143" customWidth="1"/>
    <col min="8961" max="8961" width="4" style="143" customWidth="1"/>
    <col min="8962" max="8962" width="11.625" style="143" customWidth="1"/>
    <col min="8963" max="8963" width="4" style="143" customWidth="1"/>
    <col min="8964" max="8967" width="17.25" style="143" customWidth="1"/>
    <col min="8968" max="8968" width="6.75" style="143" customWidth="1"/>
    <col min="8969" max="8969" width="8.75" style="143" customWidth="1"/>
    <col min="8970" max="8970" width="7" style="143" customWidth="1"/>
    <col min="8971" max="8971" width="12.125" style="143" customWidth="1"/>
    <col min="8972" max="9213" width="7" style="143"/>
    <col min="9214" max="9214" width="9.625" style="143" customWidth="1"/>
    <col min="9215" max="9215" width="4" style="143" customWidth="1"/>
    <col min="9216" max="9216" width="11.25" style="143" customWidth="1"/>
    <col min="9217" max="9217" width="4" style="143" customWidth="1"/>
    <col min="9218" max="9218" width="11.625" style="143" customWidth="1"/>
    <col min="9219" max="9219" width="4" style="143" customWidth="1"/>
    <col min="9220" max="9223" width="17.25" style="143" customWidth="1"/>
    <col min="9224" max="9224" width="6.75" style="143" customWidth="1"/>
    <col min="9225" max="9225" width="8.75" style="143" customWidth="1"/>
    <col min="9226" max="9226" width="7" style="143" customWidth="1"/>
    <col min="9227" max="9227" width="12.125" style="143" customWidth="1"/>
    <col min="9228" max="9469" width="7" style="143"/>
    <col min="9470" max="9470" width="9.625" style="143" customWidth="1"/>
    <col min="9471" max="9471" width="4" style="143" customWidth="1"/>
    <col min="9472" max="9472" width="11.25" style="143" customWidth="1"/>
    <col min="9473" max="9473" width="4" style="143" customWidth="1"/>
    <col min="9474" max="9474" width="11.625" style="143" customWidth="1"/>
    <col min="9475" max="9475" width="4" style="143" customWidth="1"/>
    <col min="9476" max="9479" width="17.25" style="143" customWidth="1"/>
    <col min="9480" max="9480" width="6.75" style="143" customWidth="1"/>
    <col min="9481" max="9481" width="8.75" style="143" customWidth="1"/>
    <col min="9482" max="9482" width="7" style="143" customWidth="1"/>
    <col min="9483" max="9483" width="12.125" style="143" customWidth="1"/>
    <col min="9484" max="9725" width="7" style="143"/>
    <col min="9726" max="9726" width="9.625" style="143" customWidth="1"/>
    <col min="9727" max="9727" width="4" style="143" customWidth="1"/>
    <col min="9728" max="9728" width="11.25" style="143" customWidth="1"/>
    <col min="9729" max="9729" width="4" style="143" customWidth="1"/>
    <col min="9730" max="9730" width="11.625" style="143" customWidth="1"/>
    <col min="9731" max="9731" width="4" style="143" customWidth="1"/>
    <col min="9732" max="9735" width="17.25" style="143" customWidth="1"/>
    <col min="9736" max="9736" width="6.75" style="143" customWidth="1"/>
    <col min="9737" max="9737" width="8.75" style="143" customWidth="1"/>
    <col min="9738" max="9738" width="7" style="143" customWidth="1"/>
    <col min="9739" max="9739" width="12.125" style="143" customWidth="1"/>
    <col min="9740" max="9981" width="7" style="143"/>
    <col min="9982" max="9982" width="9.625" style="143" customWidth="1"/>
    <col min="9983" max="9983" width="4" style="143" customWidth="1"/>
    <col min="9984" max="9984" width="11.25" style="143" customWidth="1"/>
    <col min="9985" max="9985" width="4" style="143" customWidth="1"/>
    <col min="9986" max="9986" width="11.625" style="143" customWidth="1"/>
    <col min="9987" max="9987" width="4" style="143" customWidth="1"/>
    <col min="9988" max="9991" width="17.25" style="143" customWidth="1"/>
    <col min="9992" max="9992" width="6.75" style="143" customWidth="1"/>
    <col min="9993" max="9993" width="8.75" style="143" customWidth="1"/>
    <col min="9994" max="9994" width="7" style="143" customWidth="1"/>
    <col min="9995" max="9995" width="12.125" style="143" customWidth="1"/>
    <col min="9996" max="10237" width="7" style="143"/>
    <col min="10238" max="10238" width="9.625" style="143" customWidth="1"/>
    <col min="10239" max="10239" width="4" style="143" customWidth="1"/>
    <col min="10240" max="10240" width="11.25" style="143" customWidth="1"/>
    <col min="10241" max="10241" width="4" style="143" customWidth="1"/>
    <col min="10242" max="10242" width="11.625" style="143" customWidth="1"/>
    <col min="10243" max="10243" width="4" style="143" customWidth="1"/>
    <col min="10244" max="10247" width="17.25" style="143" customWidth="1"/>
    <col min="10248" max="10248" width="6.75" style="143" customWidth="1"/>
    <col min="10249" max="10249" width="8.75" style="143" customWidth="1"/>
    <col min="10250" max="10250" width="7" style="143" customWidth="1"/>
    <col min="10251" max="10251" width="12.125" style="143" customWidth="1"/>
    <col min="10252" max="10493" width="7" style="143"/>
    <col min="10494" max="10494" width="9.625" style="143" customWidth="1"/>
    <col min="10495" max="10495" width="4" style="143" customWidth="1"/>
    <col min="10496" max="10496" width="11.25" style="143" customWidth="1"/>
    <col min="10497" max="10497" width="4" style="143" customWidth="1"/>
    <col min="10498" max="10498" width="11.625" style="143" customWidth="1"/>
    <col min="10499" max="10499" width="4" style="143" customWidth="1"/>
    <col min="10500" max="10503" width="17.25" style="143" customWidth="1"/>
    <col min="10504" max="10504" width="6.75" style="143" customWidth="1"/>
    <col min="10505" max="10505" width="8.75" style="143" customWidth="1"/>
    <col min="10506" max="10506" width="7" style="143" customWidth="1"/>
    <col min="10507" max="10507" width="12.125" style="143" customWidth="1"/>
    <col min="10508" max="10749" width="7" style="143"/>
    <col min="10750" max="10750" width="9.625" style="143" customWidth="1"/>
    <col min="10751" max="10751" width="4" style="143" customWidth="1"/>
    <col min="10752" max="10752" width="11.25" style="143" customWidth="1"/>
    <col min="10753" max="10753" width="4" style="143" customWidth="1"/>
    <col min="10754" max="10754" width="11.625" style="143" customWidth="1"/>
    <col min="10755" max="10755" width="4" style="143" customWidth="1"/>
    <col min="10756" max="10759" width="17.25" style="143" customWidth="1"/>
    <col min="10760" max="10760" width="6.75" style="143" customWidth="1"/>
    <col min="10761" max="10761" width="8.75" style="143" customWidth="1"/>
    <col min="10762" max="10762" width="7" style="143" customWidth="1"/>
    <col min="10763" max="10763" width="12.125" style="143" customWidth="1"/>
    <col min="10764" max="11005" width="7" style="143"/>
    <col min="11006" max="11006" width="9.625" style="143" customWidth="1"/>
    <col min="11007" max="11007" width="4" style="143" customWidth="1"/>
    <col min="11008" max="11008" width="11.25" style="143" customWidth="1"/>
    <col min="11009" max="11009" width="4" style="143" customWidth="1"/>
    <col min="11010" max="11010" width="11.625" style="143" customWidth="1"/>
    <col min="11011" max="11011" width="4" style="143" customWidth="1"/>
    <col min="11012" max="11015" width="17.25" style="143" customWidth="1"/>
    <col min="11016" max="11016" width="6.75" style="143" customWidth="1"/>
    <col min="11017" max="11017" width="8.75" style="143" customWidth="1"/>
    <col min="11018" max="11018" width="7" style="143" customWidth="1"/>
    <col min="11019" max="11019" width="12.125" style="143" customWidth="1"/>
    <col min="11020" max="11261" width="7" style="143"/>
    <col min="11262" max="11262" width="9.625" style="143" customWidth="1"/>
    <col min="11263" max="11263" width="4" style="143" customWidth="1"/>
    <col min="11264" max="11264" width="11.25" style="143" customWidth="1"/>
    <col min="11265" max="11265" width="4" style="143" customWidth="1"/>
    <col min="11266" max="11266" width="11.625" style="143" customWidth="1"/>
    <col min="11267" max="11267" width="4" style="143" customWidth="1"/>
    <col min="11268" max="11271" width="17.25" style="143" customWidth="1"/>
    <col min="11272" max="11272" width="6.75" style="143" customWidth="1"/>
    <col min="11273" max="11273" width="8.75" style="143" customWidth="1"/>
    <col min="11274" max="11274" width="7" style="143" customWidth="1"/>
    <col min="11275" max="11275" width="12.125" style="143" customWidth="1"/>
    <col min="11276" max="11517" width="7" style="143"/>
    <col min="11518" max="11518" width="9.625" style="143" customWidth="1"/>
    <col min="11519" max="11519" width="4" style="143" customWidth="1"/>
    <col min="11520" max="11520" width="11.25" style="143" customWidth="1"/>
    <col min="11521" max="11521" width="4" style="143" customWidth="1"/>
    <col min="11522" max="11522" width="11.625" style="143" customWidth="1"/>
    <col min="11523" max="11523" width="4" style="143" customWidth="1"/>
    <col min="11524" max="11527" width="17.25" style="143" customWidth="1"/>
    <col min="11528" max="11528" width="6.75" style="143" customWidth="1"/>
    <col min="11529" max="11529" width="8.75" style="143" customWidth="1"/>
    <col min="11530" max="11530" width="7" style="143" customWidth="1"/>
    <col min="11531" max="11531" width="12.125" style="143" customWidth="1"/>
    <col min="11532" max="11773" width="7" style="143"/>
    <col min="11774" max="11774" width="9.625" style="143" customWidth="1"/>
    <col min="11775" max="11775" width="4" style="143" customWidth="1"/>
    <col min="11776" max="11776" width="11.25" style="143" customWidth="1"/>
    <col min="11777" max="11777" width="4" style="143" customWidth="1"/>
    <col min="11778" max="11778" width="11.625" style="143" customWidth="1"/>
    <col min="11779" max="11779" width="4" style="143" customWidth="1"/>
    <col min="11780" max="11783" width="17.25" style="143" customWidth="1"/>
    <col min="11784" max="11784" width="6.75" style="143" customWidth="1"/>
    <col min="11785" max="11785" width="8.75" style="143" customWidth="1"/>
    <col min="11786" max="11786" width="7" style="143" customWidth="1"/>
    <col min="11787" max="11787" width="12.125" style="143" customWidth="1"/>
    <col min="11788" max="12029" width="7" style="143"/>
    <col min="12030" max="12030" width="9.625" style="143" customWidth="1"/>
    <col min="12031" max="12031" width="4" style="143" customWidth="1"/>
    <col min="12032" max="12032" width="11.25" style="143" customWidth="1"/>
    <col min="12033" max="12033" width="4" style="143" customWidth="1"/>
    <col min="12034" max="12034" width="11.625" style="143" customWidth="1"/>
    <col min="12035" max="12035" width="4" style="143" customWidth="1"/>
    <col min="12036" max="12039" width="17.25" style="143" customWidth="1"/>
    <col min="12040" max="12040" width="6.75" style="143" customWidth="1"/>
    <col min="12041" max="12041" width="8.75" style="143" customWidth="1"/>
    <col min="12042" max="12042" width="7" style="143" customWidth="1"/>
    <col min="12043" max="12043" width="12.125" style="143" customWidth="1"/>
    <col min="12044" max="12285" width="7" style="143"/>
    <col min="12286" max="12286" width="9.625" style="143" customWidth="1"/>
    <col min="12287" max="12287" width="4" style="143" customWidth="1"/>
    <col min="12288" max="12288" width="11.25" style="143" customWidth="1"/>
    <col min="12289" max="12289" width="4" style="143" customWidth="1"/>
    <col min="12290" max="12290" width="11.625" style="143" customWidth="1"/>
    <col min="12291" max="12291" width="4" style="143" customWidth="1"/>
    <col min="12292" max="12295" width="17.25" style="143" customWidth="1"/>
    <col min="12296" max="12296" width="6.75" style="143" customWidth="1"/>
    <col min="12297" max="12297" width="8.75" style="143" customWidth="1"/>
    <col min="12298" max="12298" width="7" style="143" customWidth="1"/>
    <col min="12299" max="12299" width="12.125" style="143" customWidth="1"/>
    <col min="12300" max="12541" width="7" style="143"/>
    <col min="12542" max="12542" width="9.625" style="143" customWidth="1"/>
    <col min="12543" max="12543" width="4" style="143" customWidth="1"/>
    <col min="12544" max="12544" width="11.25" style="143" customWidth="1"/>
    <col min="12545" max="12545" width="4" style="143" customWidth="1"/>
    <col min="12546" max="12546" width="11.625" style="143" customWidth="1"/>
    <col min="12547" max="12547" width="4" style="143" customWidth="1"/>
    <col min="12548" max="12551" width="17.25" style="143" customWidth="1"/>
    <col min="12552" max="12552" width="6.75" style="143" customWidth="1"/>
    <col min="12553" max="12553" width="8.75" style="143" customWidth="1"/>
    <col min="12554" max="12554" width="7" style="143" customWidth="1"/>
    <col min="12555" max="12555" width="12.125" style="143" customWidth="1"/>
    <col min="12556" max="12797" width="7" style="143"/>
    <col min="12798" max="12798" width="9.625" style="143" customWidth="1"/>
    <col min="12799" max="12799" width="4" style="143" customWidth="1"/>
    <col min="12800" max="12800" width="11.25" style="143" customWidth="1"/>
    <col min="12801" max="12801" width="4" style="143" customWidth="1"/>
    <col min="12802" max="12802" width="11.625" style="143" customWidth="1"/>
    <col min="12803" max="12803" width="4" style="143" customWidth="1"/>
    <col min="12804" max="12807" width="17.25" style="143" customWidth="1"/>
    <col min="12808" max="12808" width="6.75" style="143" customWidth="1"/>
    <col min="12809" max="12809" width="8.75" style="143" customWidth="1"/>
    <col min="12810" max="12810" width="7" style="143" customWidth="1"/>
    <col min="12811" max="12811" width="12.125" style="143" customWidth="1"/>
    <col min="12812" max="13053" width="7" style="143"/>
    <col min="13054" max="13054" width="9.625" style="143" customWidth="1"/>
    <col min="13055" max="13055" width="4" style="143" customWidth="1"/>
    <col min="13056" max="13056" width="11.25" style="143" customWidth="1"/>
    <col min="13057" max="13057" width="4" style="143" customWidth="1"/>
    <col min="13058" max="13058" width="11.625" style="143" customWidth="1"/>
    <col min="13059" max="13059" width="4" style="143" customWidth="1"/>
    <col min="13060" max="13063" width="17.25" style="143" customWidth="1"/>
    <col min="13064" max="13064" width="6.75" style="143" customWidth="1"/>
    <col min="13065" max="13065" width="8.75" style="143" customWidth="1"/>
    <col min="13066" max="13066" width="7" style="143" customWidth="1"/>
    <col min="13067" max="13067" width="12.125" style="143" customWidth="1"/>
    <col min="13068" max="13309" width="7" style="143"/>
    <col min="13310" max="13310" width="9.625" style="143" customWidth="1"/>
    <col min="13311" max="13311" width="4" style="143" customWidth="1"/>
    <col min="13312" max="13312" width="11.25" style="143" customWidth="1"/>
    <col min="13313" max="13313" width="4" style="143" customWidth="1"/>
    <col min="13314" max="13314" width="11.625" style="143" customWidth="1"/>
    <col min="13315" max="13315" width="4" style="143" customWidth="1"/>
    <col min="13316" max="13319" width="17.25" style="143" customWidth="1"/>
    <col min="13320" max="13320" width="6.75" style="143" customWidth="1"/>
    <col min="13321" max="13321" width="8.75" style="143" customWidth="1"/>
    <col min="13322" max="13322" width="7" style="143" customWidth="1"/>
    <col min="13323" max="13323" width="12.125" style="143" customWidth="1"/>
    <col min="13324" max="13565" width="7" style="143"/>
    <col min="13566" max="13566" width="9.625" style="143" customWidth="1"/>
    <col min="13567" max="13567" width="4" style="143" customWidth="1"/>
    <col min="13568" max="13568" width="11.25" style="143" customWidth="1"/>
    <col min="13569" max="13569" width="4" style="143" customWidth="1"/>
    <col min="13570" max="13570" width="11.625" style="143" customWidth="1"/>
    <col min="13571" max="13571" width="4" style="143" customWidth="1"/>
    <col min="13572" max="13575" width="17.25" style="143" customWidth="1"/>
    <col min="13576" max="13576" width="6.75" style="143" customWidth="1"/>
    <col min="13577" max="13577" width="8.75" style="143" customWidth="1"/>
    <col min="13578" max="13578" width="7" style="143" customWidth="1"/>
    <col min="13579" max="13579" width="12.125" style="143" customWidth="1"/>
    <col min="13580" max="13821" width="7" style="143"/>
    <col min="13822" max="13822" width="9.625" style="143" customWidth="1"/>
    <col min="13823" max="13823" width="4" style="143" customWidth="1"/>
    <col min="13824" max="13824" width="11.25" style="143" customWidth="1"/>
    <col min="13825" max="13825" width="4" style="143" customWidth="1"/>
    <col min="13826" max="13826" width="11.625" style="143" customWidth="1"/>
    <col min="13827" max="13827" width="4" style="143" customWidth="1"/>
    <col min="13828" max="13831" width="17.25" style="143" customWidth="1"/>
    <col min="13832" max="13832" width="6.75" style="143" customWidth="1"/>
    <col min="13833" max="13833" width="8.75" style="143" customWidth="1"/>
    <col min="13834" max="13834" width="7" style="143" customWidth="1"/>
    <col min="13835" max="13835" width="12.125" style="143" customWidth="1"/>
    <col min="13836" max="14077" width="7" style="143"/>
    <col min="14078" max="14078" width="9.625" style="143" customWidth="1"/>
    <col min="14079" max="14079" width="4" style="143" customWidth="1"/>
    <col min="14080" max="14080" width="11.25" style="143" customWidth="1"/>
    <col min="14081" max="14081" width="4" style="143" customWidth="1"/>
    <col min="14082" max="14082" width="11.625" style="143" customWidth="1"/>
    <col min="14083" max="14083" width="4" style="143" customWidth="1"/>
    <col min="14084" max="14087" width="17.25" style="143" customWidth="1"/>
    <col min="14088" max="14088" width="6.75" style="143" customWidth="1"/>
    <col min="14089" max="14089" width="8.75" style="143" customWidth="1"/>
    <col min="14090" max="14090" width="7" style="143" customWidth="1"/>
    <col min="14091" max="14091" width="12.125" style="143" customWidth="1"/>
    <col min="14092" max="14333" width="7" style="143"/>
    <col min="14334" max="14334" width="9.625" style="143" customWidth="1"/>
    <col min="14335" max="14335" width="4" style="143" customWidth="1"/>
    <col min="14336" max="14336" width="11.25" style="143" customWidth="1"/>
    <col min="14337" max="14337" width="4" style="143" customWidth="1"/>
    <col min="14338" max="14338" width="11.625" style="143" customWidth="1"/>
    <col min="14339" max="14339" width="4" style="143" customWidth="1"/>
    <col min="14340" max="14343" width="17.25" style="143" customWidth="1"/>
    <col min="14344" max="14344" width="6.75" style="143" customWidth="1"/>
    <col min="14345" max="14345" width="8.75" style="143" customWidth="1"/>
    <col min="14346" max="14346" width="7" style="143" customWidth="1"/>
    <col min="14347" max="14347" width="12.125" style="143" customWidth="1"/>
    <col min="14348" max="14589" width="7" style="143"/>
    <col min="14590" max="14590" width="9.625" style="143" customWidth="1"/>
    <col min="14591" max="14591" width="4" style="143" customWidth="1"/>
    <col min="14592" max="14592" width="11.25" style="143" customWidth="1"/>
    <col min="14593" max="14593" width="4" style="143" customWidth="1"/>
    <col min="14594" max="14594" width="11.625" style="143" customWidth="1"/>
    <col min="14595" max="14595" width="4" style="143" customWidth="1"/>
    <col min="14596" max="14599" width="17.25" style="143" customWidth="1"/>
    <col min="14600" max="14600" width="6.75" style="143" customWidth="1"/>
    <col min="14601" max="14601" width="8.75" style="143" customWidth="1"/>
    <col min="14602" max="14602" width="7" style="143" customWidth="1"/>
    <col min="14603" max="14603" width="12.125" style="143" customWidth="1"/>
    <col min="14604" max="14845" width="7" style="143"/>
    <col min="14846" max="14846" width="9.625" style="143" customWidth="1"/>
    <col min="14847" max="14847" width="4" style="143" customWidth="1"/>
    <col min="14848" max="14848" width="11.25" style="143" customWidth="1"/>
    <col min="14849" max="14849" width="4" style="143" customWidth="1"/>
    <col min="14850" max="14850" width="11.625" style="143" customWidth="1"/>
    <col min="14851" max="14851" width="4" style="143" customWidth="1"/>
    <col min="14852" max="14855" width="17.25" style="143" customWidth="1"/>
    <col min="14856" max="14856" width="6.75" style="143" customWidth="1"/>
    <col min="14857" max="14857" width="8.75" style="143" customWidth="1"/>
    <col min="14858" max="14858" width="7" style="143" customWidth="1"/>
    <col min="14859" max="14859" width="12.125" style="143" customWidth="1"/>
    <col min="14860" max="15101" width="7" style="143"/>
    <col min="15102" max="15102" width="9.625" style="143" customWidth="1"/>
    <col min="15103" max="15103" width="4" style="143" customWidth="1"/>
    <col min="15104" max="15104" width="11.25" style="143" customWidth="1"/>
    <col min="15105" max="15105" width="4" style="143" customWidth="1"/>
    <col min="15106" max="15106" width="11.625" style="143" customWidth="1"/>
    <col min="15107" max="15107" width="4" style="143" customWidth="1"/>
    <col min="15108" max="15111" width="17.25" style="143" customWidth="1"/>
    <col min="15112" max="15112" width="6.75" style="143" customWidth="1"/>
    <col min="15113" max="15113" width="8.75" style="143" customWidth="1"/>
    <col min="15114" max="15114" width="7" style="143" customWidth="1"/>
    <col min="15115" max="15115" width="12.125" style="143" customWidth="1"/>
    <col min="15116" max="15357" width="7" style="143"/>
    <col min="15358" max="15358" width="9.625" style="143" customWidth="1"/>
    <col min="15359" max="15359" width="4" style="143" customWidth="1"/>
    <col min="15360" max="15360" width="11.25" style="143" customWidth="1"/>
    <col min="15361" max="15361" width="4" style="143" customWidth="1"/>
    <col min="15362" max="15362" width="11.625" style="143" customWidth="1"/>
    <col min="15363" max="15363" width="4" style="143" customWidth="1"/>
    <col min="15364" max="15367" width="17.25" style="143" customWidth="1"/>
    <col min="15368" max="15368" width="6.75" style="143" customWidth="1"/>
    <col min="15369" max="15369" width="8.75" style="143" customWidth="1"/>
    <col min="15370" max="15370" width="7" style="143" customWidth="1"/>
    <col min="15371" max="15371" width="12.125" style="143" customWidth="1"/>
    <col min="15372" max="15613" width="7" style="143"/>
    <col min="15614" max="15614" width="9.625" style="143" customWidth="1"/>
    <col min="15615" max="15615" width="4" style="143" customWidth="1"/>
    <col min="15616" max="15616" width="11.25" style="143" customWidth="1"/>
    <col min="15617" max="15617" width="4" style="143" customWidth="1"/>
    <col min="15618" max="15618" width="11.625" style="143" customWidth="1"/>
    <col min="15619" max="15619" width="4" style="143" customWidth="1"/>
    <col min="15620" max="15623" width="17.25" style="143" customWidth="1"/>
    <col min="15624" max="15624" width="6.75" style="143" customWidth="1"/>
    <col min="15625" max="15625" width="8.75" style="143" customWidth="1"/>
    <col min="15626" max="15626" width="7" style="143" customWidth="1"/>
    <col min="15627" max="15627" width="12.125" style="143" customWidth="1"/>
    <col min="15628" max="15869" width="7" style="143"/>
    <col min="15870" max="15870" width="9.625" style="143" customWidth="1"/>
    <col min="15871" max="15871" width="4" style="143" customWidth="1"/>
    <col min="15872" max="15872" width="11.25" style="143" customWidth="1"/>
    <col min="15873" max="15873" width="4" style="143" customWidth="1"/>
    <col min="15874" max="15874" width="11.625" style="143" customWidth="1"/>
    <col min="15875" max="15875" width="4" style="143" customWidth="1"/>
    <col min="15876" max="15879" width="17.25" style="143" customWidth="1"/>
    <col min="15880" max="15880" width="6.75" style="143" customWidth="1"/>
    <col min="15881" max="15881" width="8.75" style="143" customWidth="1"/>
    <col min="15882" max="15882" width="7" style="143" customWidth="1"/>
    <col min="15883" max="15883" width="12.125" style="143" customWidth="1"/>
    <col min="15884" max="16125" width="7" style="143"/>
    <col min="16126" max="16126" width="9.625" style="143" customWidth="1"/>
    <col min="16127" max="16127" width="4" style="143" customWidth="1"/>
    <col min="16128" max="16128" width="11.25" style="143" customWidth="1"/>
    <col min="16129" max="16129" width="4" style="143" customWidth="1"/>
    <col min="16130" max="16130" width="11.625" style="143" customWidth="1"/>
    <col min="16131" max="16131" width="4" style="143" customWidth="1"/>
    <col min="16132" max="16135" width="17.25" style="143" customWidth="1"/>
    <col min="16136" max="16136" width="6.75" style="143" customWidth="1"/>
    <col min="16137" max="16137" width="8.75" style="143" customWidth="1"/>
    <col min="16138" max="16138" width="7" style="143" customWidth="1"/>
    <col min="16139" max="16139" width="12.125" style="143" customWidth="1"/>
    <col min="16140" max="16384" width="7" style="143"/>
  </cols>
  <sheetData>
    <row r="1" spans="2:14" s="126" customFormat="1" ht="26.25"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3"/>
      <c r="M1" s="124" t="s">
        <v>111</v>
      </c>
      <c r="N1" s="125"/>
    </row>
    <row r="2" spans="2:14" s="128" customFormat="1" ht="26.25" customHeight="1">
      <c r="B2" s="127" t="s">
        <v>112</v>
      </c>
      <c r="E2" s="267" t="s">
        <v>174</v>
      </c>
      <c r="H2" s="128" t="s">
        <v>113</v>
      </c>
      <c r="I2" s="268"/>
      <c r="J2" s="128" t="s">
        <v>114</v>
      </c>
      <c r="K2" s="269"/>
      <c r="L2" s="129"/>
      <c r="M2" s="130"/>
      <c r="N2" s="130"/>
    </row>
    <row r="3" spans="2:14" s="137" customFormat="1" ht="27" customHeight="1">
      <c r="B3" s="131" t="s">
        <v>115</v>
      </c>
      <c r="C3" s="132"/>
      <c r="D3" s="132"/>
      <c r="E3" s="270"/>
      <c r="F3" s="133"/>
      <c r="G3" s="133"/>
      <c r="H3" s="131" t="s">
        <v>116</v>
      </c>
      <c r="I3" s="131"/>
      <c r="J3" s="131"/>
      <c r="K3" s="134"/>
      <c r="L3" s="135"/>
      <c r="M3" s="136"/>
      <c r="N3" s="130"/>
    </row>
    <row r="4" spans="2:14" s="138" customFormat="1"/>
    <row r="5" spans="2:14" s="140" customFormat="1" ht="15.6" customHeight="1">
      <c r="B5" s="302" t="s">
        <v>117</v>
      </c>
      <c r="C5" s="303"/>
      <c r="D5" s="303"/>
      <c r="E5" s="303"/>
      <c r="F5" s="304"/>
      <c r="G5" s="308" t="s">
        <v>118</v>
      </c>
      <c r="H5" s="308"/>
      <c r="I5" s="308" t="s">
        <v>119</v>
      </c>
      <c r="J5" s="308"/>
      <c r="K5" s="309" t="s">
        <v>120</v>
      </c>
      <c r="L5" s="299" t="s">
        <v>121</v>
      </c>
      <c r="M5" s="299" t="s">
        <v>122</v>
      </c>
      <c r="N5" s="139"/>
    </row>
    <row r="6" spans="2:14" s="140" customFormat="1" ht="15.6" customHeight="1" thickBot="1">
      <c r="B6" s="305"/>
      <c r="C6" s="306"/>
      <c r="D6" s="306"/>
      <c r="E6" s="306"/>
      <c r="F6" s="307"/>
      <c r="G6" s="141" t="s">
        <v>123</v>
      </c>
      <c r="H6" s="141" t="s">
        <v>124</v>
      </c>
      <c r="I6" s="141" t="s">
        <v>123</v>
      </c>
      <c r="J6" s="141" t="s">
        <v>124</v>
      </c>
      <c r="K6" s="310"/>
      <c r="L6" s="300"/>
      <c r="M6" s="300"/>
      <c r="N6" s="142"/>
    </row>
    <row r="7" spans="2:14" ht="15.6" customHeight="1">
      <c r="B7" s="247"/>
      <c r="C7" s="231"/>
      <c r="D7" s="231"/>
      <c r="E7" s="248"/>
      <c r="F7" s="232"/>
      <c r="G7" s="233"/>
      <c r="H7" s="234"/>
      <c r="I7" s="233"/>
      <c r="J7" s="233"/>
      <c r="K7" s="145"/>
      <c r="L7" s="235"/>
      <c r="M7" s="151"/>
    </row>
    <row r="8" spans="2:14" ht="15.6" customHeight="1">
      <c r="B8" s="249"/>
      <c r="E8" s="146"/>
      <c r="F8" s="144"/>
      <c r="G8" s="145"/>
      <c r="H8" s="146"/>
      <c r="I8" s="145"/>
      <c r="J8" s="145"/>
      <c r="K8" s="145"/>
      <c r="L8" s="147"/>
      <c r="M8" s="151"/>
    </row>
    <row r="9" spans="2:14" ht="15.6" customHeight="1">
      <c r="B9" s="150"/>
      <c r="F9" s="144"/>
      <c r="G9" s="145"/>
      <c r="H9" s="146"/>
      <c r="I9" s="145"/>
      <c r="J9" s="145"/>
      <c r="K9" s="145"/>
      <c r="L9" s="147"/>
      <c r="M9" s="148"/>
    </row>
    <row r="10" spans="2:14" ht="15.6" customHeight="1">
      <c r="B10" s="150"/>
      <c r="F10" s="144"/>
      <c r="G10" s="145"/>
      <c r="H10" s="146"/>
      <c r="I10" s="145"/>
      <c r="J10" s="145"/>
      <c r="K10" s="145"/>
      <c r="L10" s="147"/>
      <c r="M10" s="148"/>
    </row>
    <row r="11" spans="2:14" ht="15.6" customHeight="1">
      <c r="B11" s="150"/>
      <c r="F11" s="144"/>
      <c r="G11" s="145"/>
      <c r="H11" s="146"/>
      <c r="I11" s="145"/>
      <c r="J11" s="145"/>
      <c r="K11" s="145"/>
      <c r="L11" s="147"/>
      <c r="M11" s="148"/>
    </row>
    <row r="12" spans="2:14" ht="15.6" customHeight="1">
      <c r="B12" s="150"/>
      <c r="F12" s="144"/>
      <c r="G12" s="145"/>
      <c r="H12" s="146"/>
      <c r="I12" s="145"/>
      <c r="J12" s="145"/>
      <c r="K12" s="145"/>
      <c r="L12" s="147"/>
      <c r="M12" s="148"/>
    </row>
    <row r="13" spans="2:14" ht="15.6" customHeight="1">
      <c r="B13" s="150"/>
      <c r="F13" s="144"/>
      <c r="G13" s="145"/>
      <c r="H13" s="146"/>
      <c r="I13" s="145"/>
      <c r="J13" s="145"/>
      <c r="K13" s="145"/>
      <c r="L13" s="147"/>
      <c r="M13" s="148"/>
    </row>
    <row r="14" spans="2:14" ht="15.6" customHeight="1">
      <c r="B14" s="150"/>
      <c r="F14" s="144"/>
      <c r="G14" s="145"/>
      <c r="H14" s="146"/>
      <c r="I14" s="145"/>
      <c r="J14" s="145"/>
      <c r="K14" s="145"/>
      <c r="L14" s="147"/>
      <c r="M14" s="148"/>
    </row>
    <row r="15" spans="2:14" ht="15.6" customHeight="1">
      <c r="B15" s="150"/>
      <c r="F15" s="144"/>
      <c r="G15" s="145"/>
      <c r="H15" s="146"/>
      <c r="I15" s="145"/>
      <c r="J15" s="145"/>
      <c r="K15" s="145"/>
      <c r="L15" s="147"/>
      <c r="M15" s="148"/>
    </row>
    <row r="16" spans="2:14" ht="15.6" customHeight="1">
      <c r="B16" s="150"/>
      <c r="F16" s="144"/>
      <c r="G16" s="145"/>
      <c r="H16" s="146"/>
      <c r="I16" s="145"/>
      <c r="J16" s="145"/>
      <c r="K16" s="145"/>
      <c r="L16" s="147"/>
      <c r="M16" s="148"/>
    </row>
    <row r="17" spans="2:13" ht="15.6" customHeight="1">
      <c r="B17" s="150"/>
      <c r="F17" s="144"/>
      <c r="G17" s="145"/>
      <c r="H17" s="146"/>
      <c r="I17" s="145"/>
      <c r="J17" s="145"/>
      <c r="K17" s="145"/>
      <c r="L17" s="147"/>
      <c r="M17" s="148"/>
    </row>
    <row r="18" spans="2:13" ht="15.6" customHeight="1">
      <c r="B18" s="150"/>
      <c r="F18" s="144"/>
      <c r="G18" s="145"/>
      <c r="H18" s="146"/>
      <c r="I18" s="145"/>
      <c r="J18" s="145"/>
      <c r="K18" s="145"/>
      <c r="L18" s="147"/>
      <c r="M18" s="148"/>
    </row>
    <row r="19" spans="2:13" ht="15.6" customHeight="1">
      <c r="B19" s="150"/>
      <c r="F19" s="144"/>
      <c r="G19" s="145"/>
      <c r="H19" s="146"/>
      <c r="I19" s="145"/>
      <c r="J19" s="145"/>
      <c r="K19" s="145"/>
      <c r="L19" s="147"/>
      <c r="M19" s="148"/>
    </row>
    <row r="20" spans="2:13" ht="15.6" customHeight="1">
      <c r="B20" s="150"/>
      <c r="F20" s="144"/>
      <c r="G20" s="145"/>
      <c r="H20" s="146"/>
      <c r="I20" s="145"/>
      <c r="J20" s="145"/>
      <c r="K20" s="145"/>
      <c r="L20" s="147"/>
      <c r="M20" s="148"/>
    </row>
    <row r="21" spans="2:13" ht="15.6" customHeight="1">
      <c r="B21" s="150"/>
      <c r="F21" s="144"/>
      <c r="G21" s="145"/>
      <c r="H21" s="146"/>
      <c r="I21" s="145"/>
      <c r="J21" s="145"/>
      <c r="K21" s="145"/>
      <c r="L21" s="147"/>
      <c r="M21" s="148"/>
    </row>
    <row r="22" spans="2:13" ht="15.6" customHeight="1">
      <c r="B22" s="150"/>
      <c r="F22" s="144"/>
      <c r="G22" s="145"/>
      <c r="H22" s="146"/>
      <c r="I22" s="145"/>
      <c r="J22" s="145"/>
      <c r="K22" s="145"/>
      <c r="L22" s="147"/>
      <c r="M22" s="148"/>
    </row>
    <row r="23" spans="2:13" ht="15.6" customHeight="1">
      <c r="B23" s="150"/>
      <c r="F23" s="144"/>
      <c r="G23" s="145"/>
      <c r="H23" s="146"/>
      <c r="I23" s="145"/>
      <c r="J23" s="145"/>
      <c r="K23" s="145"/>
      <c r="L23" s="147"/>
      <c r="M23" s="148"/>
    </row>
    <row r="24" spans="2:13" ht="15.6" customHeight="1">
      <c r="B24" s="150"/>
      <c r="F24" s="144"/>
      <c r="G24" s="145"/>
      <c r="H24" s="146"/>
      <c r="I24" s="145"/>
      <c r="J24" s="145"/>
      <c r="K24" s="145"/>
      <c r="L24" s="147"/>
      <c r="M24" s="148"/>
    </row>
    <row r="25" spans="2:13" ht="15.6" customHeight="1">
      <c r="B25" s="150"/>
      <c r="F25" s="144"/>
      <c r="G25" s="145"/>
      <c r="H25" s="146"/>
      <c r="I25" s="145"/>
      <c r="J25" s="145"/>
      <c r="K25" s="145"/>
      <c r="L25" s="147"/>
      <c r="M25" s="148"/>
    </row>
    <row r="26" spans="2:13" ht="15.6" customHeight="1">
      <c r="B26" s="150"/>
      <c r="F26" s="144"/>
      <c r="G26" s="145"/>
      <c r="H26" s="146"/>
      <c r="I26" s="145"/>
      <c r="J26" s="145"/>
      <c r="K26" s="145"/>
      <c r="L26" s="147"/>
      <c r="M26" s="148"/>
    </row>
    <row r="27" spans="2:13" ht="15.6" customHeight="1">
      <c r="B27" s="150"/>
      <c r="F27" s="144"/>
      <c r="G27" s="145"/>
      <c r="H27" s="146"/>
      <c r="I27" s="145"/>
      <c r="J27" s="145"/>
      <c r="K27" s="145"/>
      <c r="L27" s="147"/>
      <c r="M27" s="148"/>
    </row>
    <row r="28" spans="2:13" ht="15.6" customHeight="1">
      <c r="B28" s="150"/>
      <c r="F28" s="144"/>
      <c r="G28" s="145"/>
      <c r="H28" s="146"/>
      <c r="I28" s="145"/>
      <c r="J28" s="145"/>
      <c r="K28" s="145"/>
      <c r="L28" s="147"/>
      <c r="M28" s="148"/>
    </row>
    <row r="29" spans="2:13" ht="15.6" customHeight="1">
      <c r="B29" s="150"/>
      <c r="F29" s="144"/>
      <c r="G29" s="145"/>
      <c r="H29" s="146"/>
      <c r="I29" s="145"/>
      <c r="J29" s="145"/>
      <c r="K29" s="145"/>
      <c r="L29" s="147"/>
      <c r="M29" s="148"/>
    </row>
    <row r="30" spans="2:13" ht="15.6" customHeight="1">
      <c r="B30" s="150"/>
      <c r="F30" s="144"/>
      <c r="G30" s="145"/>
      <c r="H30" s="146"/>
      <c r="I30" s="145"/>
      <c r="J30" s="145"/>
      <c r="K30" s="145"/>
      <c r="L30" s="147"/>
      <c r="M30" s="148"/>
    </row>
    <row r="31" spans="2:13" ht="15.6" customHeight="1">
      <c r="B31" s="150"/>
      <c r="F31" s="144"/>
      <c r="G31" s="145"/>
      <c r="H31" s="146"/>
      <c r="I31" s="145"/>
      <c r="J31" s="145"/>
      <c r="K31" s="145"/>
      <c r="L31" s="147"/>
      <c r="M31" s="148"/>
    </row>
    <row r="32" spans="2:13" ht="15.6" customHeight="1">
      <c r="B32" s="150"/>
      <c r="F32" s="144"/>
      <c r="G32" s="145"/>
      <c r="H32" s="146"/>
      <c r="I32" s="145"/>
      <c r="J32" s="145"/>
      <c r="K32" s="145"/>
      <c r="L32" s="147"/>
      <c r="M32" s="148"/>
    </row>
    <row r="33" spans="2:13" ht="15.6" customHeight="1">
      <c r="B33" s="150"/>
      <c r="F33" s="144"/>
      <c r="G33" s="145"/>
      <c r="H33" s="146"/>
      <c r="I33" s="145"/>
      <c r="J33" s="145"/>
      <c r="K33" s="145"/>
      <c r="L33" s="147"/>
      <c r="M33" s="148"/>
    </row>
    <row r="34" spans="2:13" ht="15.6" customHeight="1">
      <c r="B34" s="150"/>
      <c r="F34" s="144"/>
      <c r="G34" s="145"/>
      <c r="H34" s="146"/>
      <c r="I34" s="145"/>
      <c r="J34" s="145"/>
      <c r="K34" s="145"/>
      <c r="L34" s="147"/>
      <c r="M34" s="148"/>
    </row>
    <row r="35" spans="2:13" ht="15.6" customHeight="1">
      <c r="B35" s="150"/>
      <c r="F35" s="144"/>
      <c r="G35" s="145"/>
      <c r="H35" s="146"/>
      <c r="I35" s="145"/>
      <c r="J35" s="145"/>
      <c r="K35" s="145"/>
      <c r="L35" s="147"/>
      <c r="M35" s="148"/>
    </row>
    <row r="36" spans="2:13" ht="15.6" customHeight="1">
      <c r="B36" s="150"/>
      <c r="F36" s="144"/>
      <c r="G36" s="145"/>
      <c r="H36" s="146"/>
      <c r="I36" s="145"/>
      <c r="J36" s="145"/>
      <c r="K36" s="145"/>
      <c r="L36" s="147"/>
      <c r="M36" s="148"/>
    </row>
    <row r="37" spans="2:13" ht="15.6" customHeight="1">
      <c r="B37" s="150"/>
      <c r="F37" s="144"/>
      <c r="G37" s="145"/>
      <c r="H37" s="146"/>
      <c r="I37" s="145"/>
      <c r="J37" s="145"/>
      <c r="K37" s="145"/>
      <c r="L37" s="147"/>
      <c r="M37" s="148"/>
    </row>
    <row r="38" spans="2:13" ht="15.6" customHeight="1">
      <c r="B38" s="150"/>
      <c r="F38" s="144"/>
      <c r="G38" s="145"/>
      <c r="H38" s="146"/>
      <c r="I38" s="145"/>
      <c r="J38" s="145"/>
      <c r="K38" s="145"/>
      <c r="L38" s="147"/>
      <c r="M38" s="148"/>
    </row>
    <row r="39" spans="2:13" ht="15.6" customHeight="1">
      <c r="B39" s="150"/>
      <c r="F39" s="144"/>
      <c r="G39" s="145"/>
      <c r="H39" s="146"/>
      <c r="I39" s="145"/>
      <c r="J39" s="145"/>
      <c r="K39" s="145"/>
      <c r="L39" s="147"/>
      <c r="M39" s="148"/>
    </row>
    <row r="40" spans="2:13" ht="15.6" customHeight="1">
      <c r="B40" s="150"/>
      <c r="F40" s="144"/>
      <c r="G40" s="145"/>
      <c r="H40" s="146"/>
      <c r="I40" s="145"/>
      <c r="J40" s="145"/>
      <c r="K40" s="145"/>
      <c r="L40" s="147"/>
      <c r="M40" s="148"/>
    </row>
    <row r="41" spans="2:13" ht="15.6" customHeight="1">
      <c r="B41" s="150"/>
      <c r="F41" s="144"/>
      <c r="G41" s="145"/>
      <c r="H41" s="146"/>
      <c r="I41" s="145"/>
      <c r="J41" s="145"/>
      <c r="K41" s="145"/>
      <c r="L41" s="147"/>
      <c r="M41" s="148"/>
    </row>
    <row r="42" spans="2:13" ht="15.6" customHeight="1">
      <c r="B42" s="150"/>
      <c r="F42" s="144"/>
      <c r="G42" s="145"/>
      <c r="H42" s="146"/>
      <c r="I42" s="145"/>
      <c r="J42" s="145"/>
      <c r="K42" s="145"/>
      <c r="L42" s="147"/>
      <c r="M42" s="148"/>
    </row>
    <row r="43" spans="2:13" ht="15.6" customHeight="1">
      <c r="B43" s="150"/>
      <c r="F43" s="144"/>
      <c r="G43" s="145"/>
      <c r="H43" s="146"/>
      <c r="I43" s="145"/>
      <c r="J43" s="145"/>
      <c r="K43" s="145"/>
      <c r="L43" s="147"/>
      <c r="M43" s="148"/>
    </row>
    <row r="44" spans="2:13" ht="15.6" customHeight="1">
      <c r="B44" s="150"/>
      <c r="F44" s="144"/>
      <c r="G44" s="145"/>
      <c r="H44" s="146"/>
      <c r="I44" s="145"/>
      <c r="J44" s="145"/>
      <c r="K44" s="145"/>
      <c r="L44" s="147"/>
      <c r="M44" s="148"/>
    </row>
    <row r="45" spans="2:13" ht="15.6" customHeight="1">
      <c r="B45" s="152"/>
      <c r="C45" s="153"/>
      <c r="D45" s="153"/>
      <c r="E45" s="153"/>
      <c r="F45" s="154"/>
      <c r="G45" s="155"/>
      <c r="H45" s="156"/>
      <c r="I45" s="155"/>
      <c r="J45" s="155"/>
      <c r="K45" s="155"/>
      <c r="L45" s="157"/>
      <c r="M45" s="158"/>
    </row>
    <row r="46" spans="2:13" ht="15.6" customHeight="1">
      <c r="B46" s="150"/>
      <c r="F46" s="144"/>
      <c r="G46" s="145"/>
      <c r="H46" s="146"/>
      <c r="I46" s="145"/>
      <c r="J46" s="145"/>
      <c r="K46" s="145"/>
      <c r="L46" s="147"/>
      <c r="M46" s="148"/>
    </row>
    <row r="47" spans="2:13" ht="15.6" customHeight="1">
      <c r="B47" s="150"/>
      <c r="F47" s="144"/>
      <c r="G47" s="145"/>
      <c r="H47" s="146"/>
      <c r="I47" s="145"/>
      <c r="J47" s="145"/>
      <c r="K47" s="145"/>
      <c r="L47" s="147"/>
      <c r="M47" s="148"/>
    </row>
    <row r="48" spans="2:13" ht="15.6" customHeight="1">
      <c r="B48" s="150"/>
      <c r="F48" s="144"/>
      <c r="G48" s="145"/>
      <c r="H48" s="146"/>
      <c r="I48" s="145"/>
      <c r="J48" s="145"/>
      <c r="K48" s="145"/>
      <c r="L48" s="147"/>
      <c r="M48" s="148"/>
    </row>
    <row r="49" spans="2:15" ht="15.6" customHeight="1">
      <c r="B49" s="150"/>
      <c r="F49" s="144"/>
      <c r="G49" s="145"/>
      <c r="H49" s="146"/>
      <c r="I49" s="145"/>
      <c r="J49" s="145"/>
      <c r="K49" s="145"/>
      <c r="L49" s="147"/>
      <c r="M49" s="148"/>
      <c r="O49" s="149"/>
    </row>
    <row r="50" spans="2:15" ht="15.6" customHeight="1">
      <c r="B50" s="150"/>
      <c r="F50" s="144"/>
      <c r="G50" s="145"/>
      <c r="H50" s="146"/>
      <c r="I50" s="145"/>
      <c r="J50" s="145"/>
      <c r="K50" s="145"/>
      <c r="L50" s="147"/>
      <c r="M50" s="148"/>
      <c r="O50" s="149"/>
    </row>
    <row r="51" spans="2:15" ht="15.6" customHeight="1">
      <c r="B51" s="150"/>
      <c r="F51" s="144"/>
      <c r="G51" s="145"/>
      <c r="H51" s="146"/>
      <c r="I51" s="145"/>
      <c r="J51" s="145"/>
      <c r="K51" s="145"/>
      <c r="L51" s="147"/>
      <c r="M51" s="148"/>
      <c r="O51" s="149"/>
    </row>
    <row r="52" spans="2:15" ht="15.6" customHeight="1">
      <c r="B52" s="152"/>
      <c r="C52" s="153"/>
      <c r="D52" s="153"/>
      <c r="E52" s="153"/>
      <c r="F52" s="154"/>
      <c r="G52" s="155"/>
      <c r="H52" s="156"/>
      <c r="I52" s="155"/>
      <c r="J52" s="155"/>
      <c r="K52" s="155"/>
      <c r="L52" s="157"/>
      <c r="M52" s="158"/>
      <c r="O52" s="149"/>
    </row>
    <row r="53" spans="2:15" ht="15.6" customHeight="1">
      <c r="B53" s="150"/>
      <c r="F53" s="144"/>
      <c r="G53" s="145"/>
      <c r="H53" s="146"/>
      <c r="I53" s="145"/>
      <c r="J53" s="145"/>
      <c r="K53" s="145"/>
      <c r="L53" s="147"/>
      <c r="M53" s="148"/>
      <c r="O53" s="149"/>
    </row>
    <row r="54" spans="2:15" ht="15.6" customHeight="1">
      <c r="B54" s="150"/>
      <c r="F54" s="144"/>
      <c r="G54" s="145"/>
      <c r="H54" s="146"/>
      <c r="I54" s="145"/>
      <c r="J54" s="145"/>
      <c r="K54" s="145"/>
      <c r="L54" s="147"/>
      <c r="M54" s="148"/>
      <c r="O54" s="149"/>
    </row>
    <row r="55" spans="2:15" ht="15.6" customHeight="1">
      <c r="B55" s="150"/>
      <c r="F55" s="144"/>
      <c r="G55" s="145"/>
      <c r="H55" s="146"/>
      <c r="I55" s="145"/>
      <c r="J55" s="145"/>
      <c r="K55" s="145"/>
      <c r="L55" s="147"/>
      <c r="M55" s="148"/>
      <c r="O55" s="149"/>
    </row>
    <row r="56" spans="2:15" ht="15.6" customHeight="1">
      <c r="B56" s="150"/>
      <c r="F56" s="144"/>
      <c r="G56" s="145"/>
      <c r="H56" s="146"/>
      <c r="I56" s="145"/>
      <c r="J56" s="145"/>
      <c r="K56" s="145"/>
      <c r="L56" s="147"/>
      <c r="M56" s="148"/>
      <c r="O56" s="149"/>
    </row>
    <row r="57" spans="2:15" ht="15.6" customHeight="1">
      <c r="B57" s="152"/>
      <c r="C57" s="153"/>
      <c r="D57" s="153"/>
      <c r="E57" s="153"/>
      <c r="F57" s="154"/>
      <c r="G57" s="155"/>
      <c r="H57" s="156"/>
      <c r="I57" s="155"/>
      <c r="J57" s="155"/>
      <c r="K57" s="155"/>
      <c r="L57" s="157"/>
      <c r="M57" s="158"/>
      <c r="O57" s="149"/>
    </row>
    <row r="58" spans="2:15" ht="15.6" customHeight="1">
      <c r="B58" s="150"/>
      <c r="F58" s="144"/>
      <c r="G58" s="145"/>
      <c r="H58" s="146"/>
      <c r="I58" s="145"/>
      <c r="J58" s="145"/>
      <c r="K58" s="145"/>
      <c r="L58" s="147"/>
      <c r="M58" s="148"/>
      <c r="O58" s="149"/>
    </row>
    <row r="59" spans="2:15" ht="15.6" customHeight="1">
      <c r="B59" s="150"/>
      <c r="F59" s="144"/>
      <c r="G59" s="145"/>
      <c r="H59" s="146"/>
      <c r="I59" s="145"/>
      <c r="J59" s="145"/>
      <c r="K59" s="145"/>
      <c r="L59" s="147"/>
      <c r="M59" s="148"/>
      <c r="O59" s="149"/>
    </row>
    <row r="60" spans="2:15" ht="15.6" customHeight="1">
      <c r="B60" s="150"/>
      <c r="F60" s="144"/>
      <c r="G60" s="145"/>
      <c r="H60" s="146"/>
      <c r="I60" s="145"/>
      <c r="J60" s="145"/>
      <c r="K60" s="145"/>
      <c r="L60" s="147"/>
      <c r="M60" s="148"/>
      <c r="O60" s="149"/>
    </row>
    <row r="61" spans="2:15" ht="15.6" customHeight="1">
      <c r="B61" s="150"/>
      <c r="F61" s="144"/>
      <c r="G61" s="145"/>
      <c r="H61" s="146"/>
      <c r="I61" s="145"/>
      <c r="J61" s="145"/>
      <c r="K61" s="145"/>
      <c r="L61" s="147"/>
      <c r="M61" s="148"/>
      <c r="O61" s="149"/>
    </row>
    <row r="62" spans="2:15">
      <c r="B62" s="301" t="s">
        <v>125</v>
      </c>
      <c r="C62" s="301"/>
      <c r="D62" s="301"/>
      <c r="E62" s="301"/>
      <c r="F62" s="301"/>
      <c r="G62" s="159">
        <f>SUM(G7:G61)</f>
        <v>0</v>
      </c>
      <c r="H62" s="159">
        <f>SUM(H7:H61)</f>
        <v>0</v>
      </c>
      <c r="I62" s="159">
        <f>SUM(I7:I61)</f>
        <v>0</v>
      </c>
      <c r="J62" s="159">
        <f>SUM(J7:J61)</f>
        <v>0</v>
      </c>
      <c r="K62" s="159">
        <f>SUM(K7:K61)</f>
        <v>0</v>
      </c>
      <c r="L62" s="160"/>
      <c r="M62" s="160"/>
      <c r="O62" s="161" t="b">
        <f>G62+I62=H62+J62</f>
        <v>1</v>
      </c>
    </row>
    <row r="63" spans="2:15">
      <c r="B63" s="162"/>
      <c r="C63" s="162"/>
      <c r="D63" s="162"/>
      <c r="E63" s="162"/>
      <c r="F63" s="162"/>
      <c r="G63" s="163"/>
      <c r="H63" s="163"/>
      <c r="I63" s="163"/>
      <c r="J63" s="163"/>
      <c r="K63" s="163" t="b">
        <f>FAR!I202-FAR!H202=K62</f>
        <v>1</v>
      </c>
      <c r="O63" s="161"/>
    </row>
    <row r="64" spans="2:15">
      <c r="G64" s="164"/>
      <c r="H64" s="164"/>
      <c r="I64" s="164"/>
      <c r="J64" s="164"/>
      <c r="K64" s="164"/>
      <c r="O64" s="161"/>
    </row>
    <row r="65" spans="6:11">
      <c r="F65" s="143" t="s">
        <v>126</v>
      </c>
      <c r="G65" s="143">
        <f>G62+I62</f>
        <v>0</v>
      </c>
      <c r="H65" s="143">
        <f>H62+J62</f>
        <v>0</v>
      </c>
      <c r="I65" s="164"/>
      <c r="J65" s="164"/>
      <c r="K65" s="164"/>
    </row>
    <row r="66" spans="6:11">
      <c r="F66" s="143" t="s">
        <v>127</v>
      </c>
      <c r="G66" s="143">
        <f>FAR!H113</f>
        <v>0</v>
      </c>
      <c r="H66" s="143">
        <f>FAR!I113</f>
        <v>0</v>
      </c>
    </row>
    <row r="67" spans="6:11">
      <c r="F67" s="143" t="s">
        <v>128</v>
      </c>
      <c r="G67" s="143">
        <f>G65-G66</f>
        <v>0</v>
      </c>
      <c r="H67" s="143">
        <f>H65-H66</f>
        <v>0</v>
      </c>
    </row>
  </sheetData>
  <mergeCells count="7">
    <mergeCell ref="L5:L6"/>
    <mergeCell ref="M5:M6"/>
    <mergeCell ref="B62:F62"/>
    <mergeCell ref="B5:F6"/>
    <mergeCell ref="G5:H5"/>
    <mergeCell ref="I5:J5"/>
    <mergeCell ref="K5:K6"/>
  </mergeCells>
  <phoneticPr fontId="3" type="noConversion"/>
  <pageMargins left="0.7" right="0.7" top="0.75" bottom="0.75" header="0.3" footer="0.3"/>
  <pageSetup paperSize="9" scale="75" fitToHeight="0" orientation="landscape" r:id="rId1"/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6" tint="-0.499984740745262"/>
    <pageSetUpPr fitToPage="1"/>
  </sheetPr>
  <dimension ref="A2:V397"/>
  <sheetViews>
    <sheetView showGridLines="0" topLeftCell="A315" zoomScale="70" zoomScaleNormal="70" zoomScaleSheetLayoutView="85" workbookViewId="0">
      <selection activeCell="A248" sqref="A248:W397"/>
    </sheetView>
  </sheetViews>
  <sheetFormatPr defaultColWidth="9" defaultRowHeight="13.5" outlineLevelCol="1"/>
  <cols>
    <col min="1" max="1" width="11.875" style="10" customWidth="1"/>
    <col min="2" max="3" width="16.25" style="10" customWidth="1" outlineLevel="1"/>
    <col min="4" max="5" width="2" style="10" customWidth="1"/>
    <col min="6" max="6" width="26" style="10" customWidth="1"/>
    <col min="7" max="9" width="16.25" style="10" customWidth="1" outlineLevel="1"/>
    <col min="10" max="10" width="16.25" style="10" customWidth="1"/>
    <col min="11" max="13" width="17" style="10" customWidth="1"/>
    <col min="14" max="17" width="16.25" style="10" hidden="1" customWidth="1" outlineLevel="1"/>
    <col min="18" max="18" width="12.75" style="10" customWidth="1" collapsed="1"/>
    <col min="19" max="19" width="63" style="10" customWidth="1"/>
    <col min="20" max="20" width="40.75" style="10" customWidth="1"/>
    <col min="21" max="22" width="16.625" style="10" customWidth="1"/>
    <col min="23" max="23" width="25.25" style="29" customWidth="1"/>
    <col min="24" max="24" width="17.125" style="29" bestFit="1" customWidth="1"/>
    <col min="25" max="25" width="18.75" style="29" bestFit="1" customWidth="1"/>
    <col min="26" max="26" width="17.125" style="29" bestFit="1" customWidth="1"/>
    <col min="27" max="27" width="22" style="29" bestFit="1" customWidth="1"/>
    <col min="28" max="29" width="13.375" style="29" bestFit="1" customWidth="1"/>
    <col min="30" max="30" width="20.125" style="29" bestFit="1" customWidth="1"/>
    <col min="31" max="31" width="17.25" style="29" bestFit="1" customWidth="1"/>
    <col min="32" max="16384" width="9" style="29"/>
  </cols>
  <sheetData>
    <row r="2" spans="1:22" s="3" customFormat="1" ht="20.25">
      <c r="A2" s="1"/>
      <c r="D2" s="2" t="s">
        <v>84</v>
      </c>
      <c r="E2" s="1"/>
      <c r="F2" s="1"/>
      <c r="K2" s="4"/>
      <c r="L2" s="4"/>
      <c r="M2" s="4"/>
      <c r="N2" s="4"/>
      <c r="O2" s="1"/>
      <c r="P2" s="5"/>
      <c r="Q2" s="5"/>
      <c r="R2" s="5"/>
      <c r="S2" s="5"/>
      <c r="T2" s="5"/>
      <c r="U2" s="5"/>
      <c r="V2" s="5"/>
    </row>
    <row r="3" spans="1:22" s="9" customFormat="1" ht="21" thickBot="1">
      <c r="A3" s="3"/>
      <c r="B3" s="3"/>
      <c r="C3" s="3"/>
      <c r="D3" s="5"/>
      <c r="E3" s="5"/>
      <c r="F3" s="5"/>
      <c r="G3" s="7"/>
      <c r="H3" s="7"/>
      <c r="I3" s="7"/>
      <c r="J3" s="7"/>
      <c r="K3" s="8"/>
      <c r="L3" s="8"/>
      <c r="M3" s="8"/>
      <c r="N3" s="8"/>
      <c r="O3" s="5"/>
    </row>
    <row r="4" spans="1:22" s="14" customFormat="1" ht="21" thickBot="1">
      <c r="A4" s="3"/>
      <c r="B4" s="3"/>
      <c r="C4" s="3"/>
      <c r="D4" s="10"/>
      <c r="E4" s="10"/>
      <c r="F4" s="165" t="s">
        <v>72</v>
      </c>
      <c r="G4" s="166"/>
      <c r="H4" s="166"/>
      <c r="I4" s="167"/>
      <c r="L4" s="12"/>
      <c r="M4" s="13"/>
      <c r="N4" s="13"/>
      <c r="O4" s="13"/>
    </row>
    <row r="5" spans="1:22" s="14" customFormat="1" ht="21" thickBot="1">
      <c r="A5" s="3"/>
      <c r="B5" s="3"/>
      <c r="C5" s="3"/>
      <c r="D5" s="10"/>
      <c r="E5" s="10"/>
      <c r="F5" s="15" t="s">
        <v>73</v>
      </c>
      <c r="G5" s="291" t="s">
        <v>174</v>
      </c>
      <c r="H5" s="168"/>
      <c r="I5" s="169"/>
      <c r="K5" s="16" t="s">
        <v>74</v>
      </c>
      <c r="L5" s="16" t="s">
        <v>75</v>
      </c>
      <c r="M5" s="16" t="s">
        <v>76</v>
      </c>
      <c r="O5" s="14" t="s">
        <v>172</v>
      </c>
      <c r="P5" s="295"/>
      <c r="Q5" s="266" t="str">
        <f>IF(AND(ISNUMBER(P5),ISNUMBER(P6)),"","※ 기간(개월) 입력 필요 (Q5, Q6)")</f>
        <v>※ 기간(개월) 입력 필요 (Q5, Q6)</v>
      </c>
    </row>
    <row r="6" spans="1:22" s="14" customFormat="1" ht="21" thickBot="1">
      <c r="A6" s="3"/>
      <c r="B6" s="3"/>
      <c r="C6" s="3"/>
      <c r="D6" s="10"/>
      <c r="E6" s="10"/>
      <c r="F6" s="17" t="s">
        <v>77</v>
      </c>
      <c r="G6" s="173" t="s">
        <v>170</v>
      </c>
      <c r="H6" s="174"/>
      <c r="I6" s="175"/>
      <c r="K6" s="292"/>
      <c r="L6" s="292"/>
      <c r="M6" s="293"/>
      <c r="O6" s="14" t="s">
        <v>173</v>
      </c>
      <c r="P6" s="295"/>
    </row>
    <row r="7" spans="1:22" s="14" customFormat="1" ht="21" thickBot="1">
      <c r="A7" s="3"/>
      <c r="B7" s="3"/>
      <c r="C7" s="3"/>
      <c r="D7" s="10"/>
      <c r="E7" s="10"/>
      <c r="F7" s="18" t="s">
        <v>78</v>
      </c>
      <c r="G7" s="294"/>
      <c r="H7" s="174"/>
      <c r="I7" s="175"/>
      <c r="K7" s="19" t="s">
        <v>79</v>
      </c>
      <c r="L7" s="20" t="s">
        <v>80</v>
      </c>
      <c r="M7" s="21" t="s">
        <v>81</v>
      </c>
    </row>
    <row r="8" spans="1:22" s="14" customFormat="1" ht="21" thickBot="1">
      <c r="A8" s="3"/>
      <c r="B8" s="3"/>
      <c r="C8" s="3"/>
      <c r="D8" s="10"/>
      <c r="E8" s="10"/>
      <c r="F8" s="22" t="s">
        <v>82</v>
      </c>
      <c r="G8" s="170"/>
      <c r="H8" s="171"/>
      <c r="I8" s="172"/>
      <c r="K8" s="23">
        <f>ROUND(G118*0.5%,-6)</f>
        <v>0</v>
      </c>
      <c r="L8" s="23">
        <f>K8*75%</f>
        <v>0</v>
      </c>
      <c r="M8" s="24" t="s">
        <v>83</v>
      </c>
    </row>
    <row r="9" spans="1:22" s="14" customFormat="1" ht="20.25">
      <c r="A9" s="3"/>
      <c r="B9" s="3"/>
      <c r="C9" s="3"/>
      <c r="D9" s="10"/>
      <c r="E9" s="10"/>
      <c r="F9" s="25"/>
      <c r="G9" s="26"/>
      <c r="H9" s="26"/>
      <c r="I9" s="26"/>
      <c r="J9" s="26"/>
      <c r="K9" s="27"/>
      <c r="L9" s="265"/>
      <c r="M9" s="28"/>
      <c r="N9" s="27"/>
    </row>
    <row r="10" spans="1:22">
      <c r="D10" s="10" t="s">
        <v>8</v>
      </c>
      <c r="J10" s="29"/>
      <c r="T10" s="14"/>
    </row>
    <row r="11" spans="1:22">
      <c r="B11" s="31"/>
      <c r="C11" s="31"/>
      <c r="D11" s="30"/>
      <c r="E11" s="30"/>
      <c r="F11" s="30"/>
      <c r="G11" s="31" t="s">
        <v>139</v>
      </c>
      <c r="H11" s="31" t="s">
        <v>131</v>
      </c>
      <c r="I11" s="31" t="s">
        <v>132</v>
      </c>
      <c r="J11" s="31" t="s">
        <v>133</v>
      </c>
      <c r="K11" s="31" t="s">
        <v>62</v>
      </c>
      <c r="L11" s="316" t="s">
        <v>1</v>
      </c>
      <c r="M11" s="317"/>
      <c r="N11" s="32" t="s">
        <v>64</v>
      </c>
      <c r="O11" s="32" t="s">
        <v>65</v>
      </c>
      <c r="P11" s="313" t="s">
        <v>134</v>
      </c>
      <c r="Q11" s="314"/>
      <c r="R11" s="315"/>
      <c r="S11" s="250" t="s">
        <v>4</v>
      </c>
      <c r="T11" s="311"/>
      <c r="U11" s="33"/>
      <c r="V11" s="34"/>
    </row>
    <row r="12" spans="1:22">
      <c r="B12" s="36"/>
      <c r="C12" s="36"/>
      <c r="D12" s="35"/>
      <c r="E12" s="35"/>
      <c r="F12" s="35"/>
      <c r="G12" s="285"/>
      <c r="H12" s="36"/>
      <c r="I12" s="36"/>
      <c r="J12" s="36">
        <f>G12</f>
        <v>0</v>
      </c>
      <c r="K12" s="285"/>
      <c r="L12" s="37" t="s">
        <v>2</v>
      </c>
      <c r="M12" s="38" t="s">
        <v>0</v>
      </c>
      <c r="N12" s="39">
        <f>K8</f>
        <v>0</v>
      </c>
      <c r="O12" s="39">
        <f>N12*75%</f>
        <v>0</v>
      </c>
      <c r="P12" s="40" t="s">
        <v>67</v>
      </c>
      <c r="Q12" s="40" t="s">
        <v>68</v>
      </c>
      <c r="R12" s="41" t="s">
        <v>135</v>
      </c>
      <c r="S12" s="42"/>
      <c r="T12" s="311"/>
      <c r="U12" s="105"/>
      <c r="V12" s="34"/>
    </row>
    <row r="13" spans="1:22">
      <c r="A13" s="10">
        <v>1</v>
      </c>
      <c r="B13" s="255"/>
      <c r="C13" s="255"/>
      <c r="D13" s="253" t="s">
        <v>9</v>
      </c>
      <c r="E13" s="254"/>
      <c r="F13" s="254"/>
      <c r="G13" s="255"/>
      <c r="H13" s="255"/>
      <c r="I13" s="255"/>
      <c r="J13" s="255"/>
      <c r="K13" s="255"/>
      <c r="L13" s="255"/>
      <c r="M13" s="256"/>
      <c r="N13" s="256"/>
      <c r="O13" s="256"/>
      <c r="P13" s="256"/>
      <c r="Q13" s="256"/>
      <c r="R13" s="256"/>
      <c r="S13" s="257"/>
      <c r="U13" s="43"/>
      <c r="V13" s="34"/>
    </row>
    <row r="14" spans="1:22" s="9" customFormat="1">
      <c r="A14" s="5"/>
      <c r="B14" s="258" t="s">
        <v>61</v>
      </c>
      <c r="C14" s="258" t="s">
        <v>175</v>
      </c>
      <c r="D14" s="44" t="s">
        <v>140</v>
      </c>
      <c r="E14" s="45"/>
      <c r="F14" s="46"/>
      <c r="G14" s="258">
        <f>G15+G31</f>
        <v>0</v>
      </c>
      <c r="H14" s="258"/>
      <c r="I14" s="258"/>
      <c r="J14" s="258">
        <f>J15+J31</f>
        <v>0</v>
      </c>
      <c r="K14" s="258">
        <f>K15+K31</f>
        <v>0</v>
      </c>
      <c r="L14" s="258">
        <f>L15+L31</f>
        <v>0</v>
      </c>
      <c r="M14" s="259" t="e">
        <f>L14/K14</f>
        <v>#DIV/0!</v>
      </c>
      <c r="N14" s="47"/>
      <c r="O14" s="47"/>
      <c r="P14" s="63"/>
      <c r="Q14" s="63"/>
      <c r="R14" s="63"/>
      <c r="S14" s="81"/>
      <c r="T14" s="244"/>
      <c r="U14" s="93"/>
      <c r="V14" s="94"/>
    </row>
    <row r="15" spans="1:22" s="9" customFormat="1">
      <c r="A15" s="5"/>
      <c r="B15" s="260"/>
      <c r="C15" s="260"/>
      <c r="D15" s="44"/>
      <c r="E15" s="45" t="s">
        <v>177</v>
      </c>
      <c r="F15" s="61"/>
      <c r="G15" s="260">
        <f>SUM(G16:G30)</f>
        <v>0</v>
      </c>
      <c r="H15" s="260"/>
      <c r="I15" s="260"/>
      <c r="J15" s="260">
        <f>SUM(J16:J30)</f>
        <v>0</v>
      </c>
      <c r="K15" s="260">
        <f>SUM(K16:K30)</f>
        <v>0</v>
      </c>
      <c r="L15" s="260">
        <f>SUM(L16:L30)</f>
        <v>0</v>
      </c>
      <c r="M15" s="261" t="e">
        <f t="shared" ref="M15:M78" si="0">L15/K15</f>
        <v>#DIV/0!</v>
      </c>
      <c r="N15" s="236" t="e">
        <f t="shared" ref="N15" si="1">G15/$N$12</f>
        <v>#DIV/0!</v>
      </c>
      <c r="O15" s="236" t="e">
        <f t="shared" ref="O15" si="2">G15/$O$12</f>
        <v>#DIV/0!</v>
      </c>
      <c r="P15" s="237" t="e">
        <f t="shared" ref="P15" si="3">IF(ABS(O15)&gt;100%,"O","X")</f>
        <v>#DIV/0!</v>
      </c>
      <c r="Q15" s="240"/>
      <c r="R15" s="238" t="e">
        <f t="shared" ref="R15" si="4">IF(P15="O","O",IF(Q15="O","O","X"))</f>
        <v>#DIV/0!</v>
      </c>
      <c r="S15" s="262"/>
      <c r="T15" s="241"/>
      <c r="U15" s="242"/>
      <c r="V15" s="243"/>
    </row>
    <row r="16" spans="1:22">
      <c r="B16" s="54"/>
      <c r="C16" s="54" t="s">
        <v>178</v>
      </c>
      <c r="D16" s="50"/>
      <c r="E16" s="52"/>
      <c r="F16" s="53" t="s">
        <v>178</v>
      </c>
      <c r="G16" s="271"/>
      <c r="H16" s="271"/>
      <c r="I16" s="271"/>
      <c r="J16" s="54">
        <f>G16+H16-I16</f>
        <v>0</v>
      </c>
      <c r="K16" s="271"/>
      <c r="L16" s="55">
        <f>J16-K16</f>
        <v>0</v>
      </c>
      <c r="M16" s="56" t="e">
        <f t="shared" si="0"/>
        <v>#DIV/0!</v>
      </c>
      <c r="N16" s="57" t="e">
        <f>G16/$N$12</f>
        <v>#DIV/0!</v>
      </c>
      <c r="O16" s="57" t="e">
        <f>G16/$O$12</f>
        <v>#DIV/0!</v>
      </c>
      <c r="P16" s="58" t="e">
        <f>IF(ABS(O16)&gt;100%,"O","X")</f>
        <v>#DIV/0!</v>
      </c>
      <c r="Q16" s="272"/>
      <c r="R16" s="59" t="e">
        <f>IF(P16="O","O",IF(Q16="O","O","X"))</f>
        <v>#DIV/0!</v>
      </c>
      <c r="S16" s="104"/>
      <c r="T16" s="225"/>
      <c r="U16" s="48"/>
      <c r="V16" s="49"/>
    </row>
    <row r="17" spans="1:22">
      <c r="B17" s="54"/>
      <c r="C17" s="54" t="s">
        <v>63</v>
      </c>
      <c r="D17" s="50"/>
      <c r="E17" s="52"/>
      <c r="F17" s="53" t="s">
        <v>63</v>
      </c>
      <c r="G17" s="271"/>
      <c r="H17" s="271"/>
      <c r="I17" s="271"/>
      <c r="J17" s="54">
        <f>G17+H17-I17</f>
        <v>0</v>
      </c>
      <c r="K17" s="271"/>
      <c r="L17" s="55">
        <f>J17-K17</f>
        <v>0</v>
      </c>
      <c r="M17" s="56" t="e">
        <f t="shared" si="0"/>
        <v>#DIV/0!</v>
      </c>
      <c r="N17" s="57" t="e">
        <f>G17/$N$12</f>
        <v>#DIV/0!</v>
      </c>
      <c r="O17" s="57" t="e">
        <f>G17/$O$12</f>
        <v>#DIV/0!</v>
      </c>
      <c r="P17" s="58" t="e">
        <f>IF(ABS(O17)&gt;100%,"O","X")</f>
        <v>#DIV/0!</v>
      </c>
      <c r="Q17" s="272"/>
      <c r="R17" s="59" t="e">
        <f>IF(P17="O","O",IF(Q17="O","O","X"))</f>
        <v>#DIV/0!</v>
      </c>
      <c r="S17" s="104"/>
      <c r="T17" s="225"/>
      <c r="U17" s="48"/>
      <c r="V17" s="49"/>
    </row>
    <row r="18" spans="1:22">
      <c r="B18" s="54"/>
      <c r="C18" s="54" t="s">
        <v>179</v>
      </c>
      <c r="D18" s="50"/>
      <c r="E18" s="52"/>
      <c r="F18" s="53" t="s">
        <v>179</v>
      </c>
      <c r="G18" s="271"/>
      <c r="H18" s="271"/>
      <c r="I18" s="271"/>
      <c r="J18" s="54">
        <f>G18+H18-I18</f>
        <v>0</v>
      </c>
      <c r="K18" s="271"/>
      <c r="L18" s="55">
        <f>J18-K18</f>
        <v>0</v>
      </c>
      <c r="M18" s="56" t="e">
        <f t="shared" si="0"/>
        <v>#DIV/0!</v>
      </c>
      <c r="N18" s="57" t="e">
        <f>G18/$N$12</f>
        <v>#DIV/0!</v>
      </c>
      <c r="O18" s="57" t="e">
        <f>G18/$O$12</f>
        <v>#DIV/0!</v>
      </c>
      <c r="P18" s="58" t="e">
        <f>IF(ABS(O18)&gt;100%,"O","X")</f>
        <v>#DIV/0!</v>
      </c>
      <c r="Q18" s="272"/>
      <c r="R18" s="59" t="e">
        <f>IF(P18="O","O",IF(Q18="O","O","X"))</f>
        <v>#DIV/0!</v>
      </c>
      <c r="S18" s="104"/>
      <c r="T18" s="225"/>
      <c r="U18" s="48"/>
      <c r="V18" s="49"/>
    </row>
    <row r="19" spans="1:22">
      <c r="B19" s="54"/>
      <c r="C19" s="54" t="s">
        <v>102</v>
      </c>
      <c r="D19" s="50"/>
      <c r="E19" s="52"/>
      <c r="F19" s="53" t="s">
        <v>102</v>
      </c>
      <c r="G19" s="271"/>
      <c r="H19" s="271"/>
      <c r="I19" s="271"/>
      <c r="J19" s="54">
        <f>G19+H19-I19</f>
        <v>0</v>
      </c>
      <c r="K19" s="271"/>
      <c r="L19" s="55">
        <f>J19-K19</f>
        <v>0</v>
      </c>
      <c r="M19" s="56" t="e">
        <f t="shared" si="0"/>
        <v>#DIV/0!</v>
      </c>
      <c r="N19" s="57" t="e">
        <f>G19/$N$12</f>
        <v>#DIV/0!</v>
      </c>
      <c r="O19" s="57" t="e">
        <f>G19/$O$12</f>
        <v>#DIV/0!</v>
      </c>
      <c r="P19" s="58" t="e">
        <f>IF(ABS(O19)&gt;100%,"O","X")</f>
        <v>#DIV/0!</v>
      </c>
      <c r="Q19" s="272"/>
      <c r="R19" s="59" t="e">
        <f>IF(P19="O","O",IF(Q19="O","O","X"))</f>
        <v>#DIV/0!</v>
      </c>
      <c r="S19" s="104"/>
      <c r="T19" s="225"/>
      <c r="U19" s="48"/>
      <c r="V19" s="49"/>
    </row>
    <row r="20" spans="1:22">
      <c r="B20" s="54"/>
      <c r="C20" s="54" t="s">
        <v>180</v>
      </c>
      <c r="D20" s="50"/>
      <c r="E20" s="52"/>
      <c r="F20" s="53" t="s">
        <v>180</v>
      </c>
      <c r="G20" s="271"/>
      <c r="H20" s="271"/>
      <c r="I20" s="271"/>
      <c r="J20" s="54">
        <f>G20+H20-I20</f>
        <v>0</v>
      </c>
      <c r="K20" s="271"/>
      <c r="L20" s="55">
        <f>J20-K20</f>
        <v>0</v>
      </c>
      <c r="M20" s="56" t="e">
        <f t="shared" si="0"/>
        <v>#DIV/0!</v>
      </c>
      <c r="N20" s="57" t="e">
        <f>G20/$N$12</f>
        <v>#DIV/0!</v>
      </c>
      <c r="O20" s="57" t="e">
        <f>G20/$O$12</f>
        <v>#DIV/0!</v>
      </c>
      <c r="P20" s="58" t="e">
        <f>IF(ABS(O20)&gt;100%,"O","X")</f>
        <v>#DIV/0!</v>
      </c>
      <c r="Q20" s="272"/>
      <c r="R20" s="59" t="e">
        <f>IF(P20="O","O",IF(Q20="O","O","X"))</f>
        <v>#DIV/0!</v>
      </c>
      <c r="S20" s="104"/>
      <c r="T20" s="225"/>
      <c r="U20" s="48"/>
      <c r="V20" s="49"/>
    </row>
    <row r="21" spans="1:22">
      <c r="B21" s="54"/>
      <c r="C21" s="54" t="s">
        <v>3</v>
      </c>
      <c r="D21" s="50"/>
      <c r="E21" s="52"/>
      <c r="F21" s="53" t="s">
        <v>3</v>
      </c>
      <c r="G21" s="271"/>
      <c r="H21" s="271"/>
      <c r="I21" s="271"/>
      <c r="J21" s="54">
        <f>G21+H21-I21</f>
        <v>0</v>
      </c>
      <c r="K21" s="271"/>
      <c r="L21" s="55">
        <f>J21-K21</f>
        <v>0</v>
      </c>
      <c r="M21" s="56" t="e">
        <f t="shared" si="0"/>
        <v>#DIV/0!</v>
      </c>
      <c r="N21" s="57" t="e">
        <f>G21/$N$12</f>
        <v>#DIV/0!</v>
      </c>
      <c r="O21" s="57" t="e">
        <f>G21/$O$12</f>
        <v>#DIV/0!</v>
      </c>
      <c r="P21" s="58" t="e">
        <f>IF(ABS(O21)&gt;100%,"O","X")</f>
        <v>#DIV/0!</v>
      </c>
      <c r="Q21" s="272"/>
      <c r="R21" s="59" t="e">
        <f>IF(P21="O","O",IF(Q21="O","O","X"))</f>
        <v>#DIV/0!</v>
      </c>
      <c r="S21" s="104"/>
      <c r="T21" s="225"/>
      <c r="U21" s="48"/>
      <c r="V21" s="49"/>
    </row>
    <row r="22" spans="1:22">
      <c r="B22" s="54"/>
      <c r="C22" s="54" t="s">
        <v>181</v>
      </c>
      <c r="D22" s="50"/>
      <c r="E22" s="52"/>
      <c r="F22" s="53" t="s">
        <v>181</v>
      </c>
      <c r="G22" s="271"/>
      <c r="H22" s="271"/>
      <c r="I22" s="271"/>
      <c r="J22" s="54">
        <f>G22+H22-I22</f>
        <v>0</v>
      </c>
      <c r="K22" s="271"/>
      <c r="L22" s="55">
        <f>J22-K22</f>
        <v>0</v>
      </c>
      <c r="M22" s="56" t="e">
        <f t="shared" si="0"/>
        <v>#DIV/0!</v>
      </c>
      <c r="N22" s="57" t="e">
        <f>G22/$N$12</f>
        <v>#DIV/0!</v>
      </c>
      <c r="O22" s="57" t="e">
        <f>G22/$O$12</f>
        <v>#DIV/0!</v>
      </c>
      <c r="P22" s="58" t="e">
        <f>IF(ABS(O22)&gt;100%,"O","X")</f>
        <v>#DIV/0!</v>
      </c>
      <c r="Q22" s="272"/>
      <c r="R22" s="59" t="e">
        <f>IF(P22="O","O",IF(Q22="O","O","X"))</f>
        <v>#DIV/0!</v>
      </c>
      <c r="S22" s="104"/>
      <c r="T22" s="225"/>
      <c r="U22" s="48"/>
      <c r="V22" s="49"/>
    </row>
    <row r="23" spans="1:22">
      <c r="B23" s="54"/>
      <c r="C23" s="54" t="s">
        <v>44</v>
      </c>
      <c r="D23" s="50"/>
      <c r="E23" s="52"/>
      <c r="F23" s="53" t="s">
        <v>44</v>
      </c>
      <c r="G23" s="271"/>
      <c r="H23" s="271"/>
      <c r="I23" s="271"/>
      <c r="J23" s="54">
        <f>G23+H23-I23</f>
        <v>0</v>
      </c>
      <c r="K23" s="271"/>
      <c r="L23" s="55">
        <f>J23-K23</f>
        <v>0</v>
      </c>
      <c r="M23" s="56" t="e">
        <f t="shared" si="0"/>
        <v>#DIV/0!</v>
      </c>
      <c r="N23" s="57" t="e">
        <f>G23/$N$12</f>
        <v>#DIV/0!</v>
      </c>
      <c r="O23" s="57" t="e">
        <f>G23/$O$12</f>
        <v>#DIV/0!</v>
      </c>
      <c r="P23" s="58" t="e">
        <f>IF(ABS(O23)&gt;100%,"O","X")</f>
        <v>#DIV/0!</v>
      </c>
      <c r="Q23" s="272"/>
      <c r="R23" s="59" t="e">
        <f>IF(P23="O","O",IF(Q23="O","O","X"))</f>
        <v>#DIV/0!</v>
      </c>
      <c r="S23" s="104"/>
      <c r="T23" s="225"/>
      <c r="U23" s="48"/>
      <c r="V23" s="49"/>
    </row>
    <row r="24" spans="1:22">
      <c r="B24" s="54"/>
      <c r="C24" s="54" t="s">
        <v>10</v>
      </c>
      <c r="D24" s="50"/>
      <c r="E24" s="52"/>
      <c r="F24" s="53" t="s">
        <v>10</v>
      </c>
      <c r="G24" s="271"/>
      <c r="H24" s="271"/>
      <c r="I24" s="271"/>
      <c r="J24" s="54">
        <f>G24+H24-I24</f>
        <v>0</v>
      </c>
      <c r="K24" s="271"/>
      <c r="L24" s="55">
        <f>J24-K24</f>
        <v>0</v>
      </c>
      <c r="M24" s="56" t="e">
        <f t="shared" si="0"/>
        <v>#DIV/0!</v>
      </c>
      <c r="N24" s="57" t="e">
        <f>G24/$N$12</f>
        <v>#DIV/0!</v>
      </c>
      <c r="O24" s="57" t="e">
        <f>G24/$O$12</f>
        <v>#DIV/0!</v>
      </c>
      <c r="P24" s="58" t="e">
        <f>IF(ABS(O24)&gt;100%,"O","X")</f>
        <v>#DIV/0!</v>
      </c>
      <c r="Q24" s="272"/>
      <c r="R24" s="59" t="e">
        <f>IF(P24="O","O",IF(Q24="O","O","X"))</f>
        <v>#DIV/0!</v>
      </c>
      <c r="S24" s="104"/>
      <c r="T24" s="225"/>
      <c r="U24" s="48"/>
      <c r="V24" s="49"/>
    </row>
    <row r="25" spans="1:22">
      <c r="B25" s="54"/>
      <c r="C25" s="54" t="s">
        <v>11</v>
      </c>
      <c r="D25" s="50"/>
      <c r="E25" s="52"/>
      <c r="F25" s="53" t="s">
        <v>11</v>
      </c>
      <c r="G25" s="271"/>
      <c r="H25" s="271"/>
      <c r="I25" s="271"/>
      <c r="J25" s="54">
        <f>G25+H25-I25</f>
        <v>0</v>
      </c>
      <c r="K25" s="271"/>
      <c r="L25" s="55">
        <f>J25-K25</f>
        <v>0</v>
      </c>
      <c r="M25" s="56" t="e">
        <f t="shared" si="0"/>
        <v>#DIV/0!</v>
      </c>
      <c r="N25" s="57" t="e">
        <f>G25/$N$12</f>
        <v>#DIV/0!</v>
      </c>
      <c r="O25" s="57" t="e">
        <f>G25/$O$12</f>
        <v>#DIV/0!</v>
      </c>
      <c r="P25" s="58" t="e">
        <f>IF(ABS(O25)&gt;100%,"O","X")</f>
        <v>#DIV/0!</v>
      </c>
      <c r="Q25" s="272"/>
      <c r="R25" s="59" t="e">
        <f>IF(P25="O","O",IF(Q25="O","O","X"))</f>
        <v>#DIV/0!</v>
      </c>
      <c r="S25" s="104"/>
      <c r="T25" s="225"/>
      <c r="U25" s="48"/>
      <c r="V25" s="49"/>
    </row>
    <row r="26" spans="1:22">
      <c r="B26" s="54"/>
      <c r="C26" s="54" t="s">
        <v>182</v>
      </c>
      <c r="D26" s="50"/>
      <c r="E26" s="52"/>
      <c r="F26" s="53" t="s">
        <v>182</v>
      </c>
      <c r="G26" s="271"/>
      <c r="H26" s="271"/>
      <c r="I26" s="271"/>
      <c r="J26" s="54">
        <f>G26+H26-I26</f>
        <v>0</v>
      </c>
      <c r="K26" s="271"/>
      <c r="L26" s="55">
        <f>J26-K26</f>
        <v>0</v>
      </c>
      <c r="M26" s="56" t="e">
        <f t="shared" si="0"/>
        <v>#DIV/0!</v>
      </c>
      <c r="N26" s="57" t="e">
        <f>G26/$N$12</f>
        <v>#DIV/0!</v>
      </c>
      <c r="O26" s="57" t="e">
        <f>G26/$O$12</f>
        <v>#DIV/0!</v>
      </c>
      <c r="P26" s="58" t="e">
        <f>IF(ABS(O26)&gt;100%,"O","X")</f>
        <v>#DIV/0!</v>
      </c>
      <c r="Q26" s="272"/>
      <c r="R26" s="59" t="e">
        <f>IF(P26="O","O",IF(Q26="O","O","X"))</f>
        <v>#DIV/0!</v>
      </c>
      <c r="S26" s="104"/>
      <c r="T26" s="225"/>
      <c r="U26" s="48"/>
      <c r="V26" s="49"/>
    </row>
    <row r="27" spans="1:22">
      <c r="B27" s="54"/>
      <c r="C27" s="54" t="s">
        <v>85</v>
      </c>
      <c r="D27" s="50"/>
      <c r="E27" s="52"/>
      <c r="F27" s="53" t="s">
        <v>85</v>
      </c>
      <c r="G27" s="271"/>
      <c r="H27" s="271"/>
      <c r="I27" s="271"/>
      <c r="J27" s="54">
        <f>G27+H27-I27</f>
        <v>0</v>
      </c>
      <c r="K27" s="271"/>
      <c r="L27" s="55">
        <f>J27-K27</f>
        <v>0</v>
      </c>
      <c r="M27" s="56" t="e">
        <f t="shared" si="0"/>
        <v>#DIV/0!</v>
      </c>
      <c r="N27" s="57" t="e">
        <f>G27/$N$12</f>
        <v>#DIV/0!</v>
      </c>
      <c r="O27" s="57" t="e">
        <f>G27/$O$12</f>
        <v>#DIV/0!</v>
      </c>
      <c r="P27" s="58" t="e">
        <f>IF(ABS(O27)&gt;100%,"O","X")</f>
        <v>#DIV/0!</v>
      </c>
      <c r="Q27" s="272"/>
      <c r="R27" s="59" t="e">
        <f>IF(P27="O","O",IF(Q27="O","O","X"))</f>
        <v>#DIV/0!</v>
      </c>
      <c r="S27" s="104"/>
      <c r="T27" s="225"/>
      <c r="U27" s="48"/>
      <c r="V27" s="49"/>
    </row>
    <row r="28" spans="1:22">
      <c r="B28" s="54"/>
      <c r="C28" s="54" t="s">
        <v>183</v>
      </c>
      <c r="D28" s="50"/>
      <c r="E28" s="52"/>
      <c r="F28" s="53" t="s">
        <v>183</v>
      </c>
      <c r="G28" s="271"/>
      <c r="H28" s="271"/>
      <c r="I28" s="271"/>
      <c r="J28" s="54">
        <f>G28+H28-I28</f>
        <v>0</v>
      </c>
      <c r="K28" s="271"/>
      <c r="L28" s="55">
        <f>J28-K28</f>
        <v>0</v>
      </c>
      <c r="M28" s="56" t="e">
        <f t="shared" si="0"/>
        <v>#DIV/0!</v>
      </c>
      <c r="N28" s="57" t="e">
        <f>G28/$N$12</f>
        <v>#DIV/0!</v>
      </c>
      <c r="O28" s="57" t="e">
        <f>G28/$O$12</f>
        <v>#DIV/0!</v>
      </c>
      <c r="P28" s="58" t="e">
        <f>IF(ABS(O28)&gt;100%,"O","X")</f>
        <v>#DIV/0!</v>
      </c>
      <c r="Q28" s="272"/>
      <c r="R28" s="59" t="e">
        <f>IF(P28="O","O",IF(Q28="O","O","X"))</f>
        <v>#DIV/0!</v>
      </c>
      <c r="S28" s="104"/>
      <c r="T28" s="225"/>
      <c r="U28" s="48"/>
      <c r="V28" s="49"/>
    </row>
    <row r="29" spans="1:22">
      <c r="B29" s="54"/>
      <c r="C29" s="54" t="s">
        <v>184</v>
      </c>
      <c r="D29" s="50"/>
      <c r="E29" s="52"/>
      <c r="F29" s="53" t="s">
        <v>184</v>
      </c>
      <c r="G29" s="271"/>
      <c r="H29" s="271"/>
      <c r="I29" s="271"/>
      <c r="J29" s="54">
        <f>G29+H29-I29</f>
        <v>0</v>
      </c>
      <c r="K29" s="271"/>
      <c r="L29" s="55">
        <f>J29-K29</f>
        <v>0</v>
      </c>
      <c r="M29" s="56" t="e">
        <f t="shared" si="0"/>
        <v>#DIV/0!</v>
      </c>
      <c r="N29" s="57" t="e">
        <f>G29/$N$12</f>
        <v>#DIV/0!</v>
      </c>
      <c r="O29" s="57" t="e">
        <f>G29/$O$12</f>
        <v>#DIV/0!</v>
      </c>
      <c r="P29" s="58" t="e">
        <f>IF(ABS(O29)&gt;100%,"O","X")</f>
        <v>#DIV/0!</v>
      </c>
      <c r="Q29" s="272"/>
      <c r="R29" s="59" t="e">
        <f>IF(P29="O","O",IF(Q29="O","O","X"))</f>
        <v>#DIV/0!</v>
      </c>
      <c r="S29" s="104"/>
      <c r="T29" s="225"/>
      <c r="U29" s="48"/>
      <c r="V29" s="49"/>
    </row>
    <row r="30" spans="1:22">
      <c r="B30" s="54"/>
      <c r="C30" s="54" t="s">
        <v>185</v>
      </c>
      <c r="D30" s="50"/>
      <c r="E30" s="52"/>
      <c r="F30" s="53" t="s">
        <v>185</v>
      </c>
      <c r="G30" s="271"/>
      <c r="H30" s="271"/>
      <c r="I30" s="271"/>
      <c r="J30" s="54">
        <f>G30+H30-I30</f>
        <v>0</v>
      </c>
      <c r="K30" s="271"/>
      <c r="L30" s="55">
        <f>J30-K30</f>
        <v>0</v>
      </c>
      <c r="M30" s="56" t="e">
        <f t="shared" si="0"/>
        <v>#DIV/0!</v>
      </c>
      <c r="N30" s="57" t="e">
        <f>G30/$N$12</f>
        <v>#DIV/0!</v>
      </c>
      <c r="O30" s="57" t="e">
        <f>G30/$O$12</f>
        <v>#DIV/0!</v>
      </c>
      <c r="P30" s="58" t="e">
        <f>IF(ABS(O30)&gt;100%,"O","X")</f>
        <v>#DIV/0!</v>
      </c>
      <c r="Q30" s="272"/>
      <c r="R30" s="59" t="e">
        <f>IF(P30="O","O",IF(Q30="O","O","X"))</f>
        <v>#DIV/0!</v>
      </c>
      <c r="S30" s="104"/>
      <c r="T30" s="225"/>
      <c r="U30" s="48"/>
      <c r="V30" s="49"/>
    </row>
    <row r="31" spans="1:22" s="9" customFormat="1">
      <c r="A31" s="5"/>
      <c r="B31" s="260"/>
      <c r="C31" s="260"/>
      <c r="D31" s="44"/>
      <c r="E31" s="45" t="s">
        <v>186</v>
      </c>
      <c r="F31" s="61"/>
      <c r="G31" s="260">
        <f>SUM(G32:G40)</f>
        <v>0</v>
      </c>
      <c r="H31" s="260"/>
      <c r="I31" s="260"/>
      <c r="J31" s="260">
        <f>SUM(J32:J40)</f>
        <v>0</v>
      </c>
      <c r="K31" s="260">
        <f>SUM(K32:K40)</f>
        <v>0</v>
      </c>
      <c r="L31" s="260">
        <f>SUM(L32:L40)</f>
        <v>0</v>
      </c>
      <c r="M31" s="261" t="e">
        <f t="shared" si="0"/>
        <v>#DIV/0!</v>
      </c>
      <c r="N31" s="236" t="e">
        <f t="shared" ref="N31" si="5">G31/$N$12</f>
        <v>#DIV/0!</v>
      </c>
      <c r="O31" s="236" t="e">
        <f t="shared" ref="O31" si="6">G31/$O$12</f>
        <v>#DIV/0!</v>
      </c>
      <c r="P31" s="237" t="e">
        <f t="shared" ref="P31" si="7">IF(ABS(O31)&gt;100%,"O","X")</f>
        <v>#DIV/0!</v>
      </c>
      <c r="Q31" s="240"/>
      <c r="R31" s="238" t="e">
        <f t="shared" ref="R31" si="8">IF(P31="O","O",IF(Q31="O","O","X"))</f>
        <v>#DIV/0!</v>
      </c>
      <c r="S31" s="262"/>
      <c r="T31" s="241"/>
      <c r="U31" s="242"/>
      <c r="V31" s="243"/>
    </row>
    <row r="32" spans="1:22">
      <c r="B32" s="54"/>
      <c r="C32" s="54" t="s">
        <v>57</v>
      </c>
      <c r="D32" s="50"/>
      <c r="E32" s="52"/>
      <c r="F32" s="53" t="s">
        <v>57</v>
      </c>
      <c r="G32" s="271"/>
      <c r="H32" s="271"/>
      <c r="I32" s="271"/>
      <c r="J32" s="54">
        <f>G32+H32-I32</f>
        <v>0</v>
      </c>
      <c r="K32" s="271"/>
      <c r="L32" s="55">
        <f>J32-K32</f>
        <v>0</v>
      </c>
      <c r="M32" s="56" t="e">
        <f t="shared" si="0"/>
        <v>#DIV/0!</v>
      </c>
      <c r="N32" s="57" t="e">
        <f>G32/$N$12</f>
        <v>#DIV/0!</v>
      </c>
      <c r="O32" s="57" t="e">
        <f>G32/$O$12</f>
        <v>#DIV/0!</v>
      </c>
      <c r="P32" s="58" t="e">
        <f>IF(ABS(O32)&gt;100%,"O","X")</f>
        <v>#DIV/0!</v>
      </c>
      <c r="Q32" s="272"/>
      <c r="R32" s="59" t="e">
        <f>IF(P32="O","O",IF(Q32="O","O","X"))</f>
        <v>#DIV/0!</v>
      </c>
      <c r="S32" s="104"/>
      <c r="T32" s="225"/>
      <c r="U32" s="48"/>
      <c r="V32" s="49"/>
    </row>
    <row r="33" spans="1:22">
      <c r="B33" s="54"/>
      <c r="C33" s="54" t="s">
        <v>187</v>
      </c>
      <c r="D33" s="50"/>
      <c r="E33" s="52"/>
      <c r="F33" s="53" t="s">
        <v>187</v>
      </c>
      <c r="G33" s="271"/>
      <c r="H33" s="271"/>
      <c r="I33" s="271"/>
      <c r="J33" s="54">
        <f>G33+H33-I33</f>
        <v>0</v>
      </c>
      <c r="K33" s="271"/>
      <c r="L33" s="55">
        <f>J33-K33</f>
        <v>0</v>
      </c>
      <c r="M33" s="56" t="e">
        <f t="shared" si="0"/>
        <v>#DIV/0!</v>
      </c>
      <c r="N33" s="57" t="e">
        <f>G33/$N$12</f>
        <v>#DIV/0!</v>
      </c>
      <c r="O33" s="57" t="e">
        <f>G33/$O$12</f>
        <v>#DIV/0!</v>
      </c>
      <c r="P33" s="58" t="e">
        <f>IF(ABS(O33)&gt;100%,"O","X")</f>
        <v>#DIV/0!</v>
      </c>
      <c r="Q33" s="272"/>
      <c r="R33" s="59" t="e">
        <f>IF(P33="O","O",IF(Q33="O","O","X"))</f>
        <v>#DIV/0!</v>
      </c>
      <c r="S33" s="104"/>
      <c r="T33" s="225"/>
      <c r="U33" s="48"/>
      <c r="V33" s="49"/>
    </row>
    <row r="34" spans="1:22">
      <c r="B34" s="54"/>
      <c r="C34" s="54" t="s">
        <v>12</v>
      </c>
      <c r="D34" s="50"/>
      <c r="E34" s="52"/>
      <c r="F34" s="53" t="s">
        <v>12</v>
      </c>
      <c r="G34" s="271"/>
      <c r="H34" s="271"/>
      <c r="I34" s="271"/>
      <c r="J34" s="54">
        <f>G34+H34-I34</f>
        <v>0</v>
      </c>
      <c r="K34" s="271"/>
      <c r="L34" s="55">
        <f>J34-K34</f>
        <v>0</v>
      </c>
      <c r="M34" s="56" t="e">
        <f t="shared" si="0"/>
        <v>#DIV/0!</v>
      </c>
      <c r="N34" s="57" t="e">
        <f>G34/$N$12</f>
        <v>#DIV/0!</v>
      </c>
      <c r="O34" s="57" t="e">
        <f>G34/$O$12</f>
        <v>#DIV/0!</v>
      </c>
      <c r="P34" s="58" t="e">
        <f>IF(ABS(O34)&gt;100%,"O","X")</f>
        <v>#DIV/0!</v>
      </c>
      <c r="Q34" s="272"/>
      <c r="R34" s="59" t="e">
        <f>IF(P34="O","O",IF(Q34="O","O","X"))</f>
        <v>#DIV/0!</v>
      </c>
      <c r="S34" s="104"/>
      <c r="T34" s="225"/>
      <c r="U34" s="48"/>
      <c r="V34" s="49"/>
    </row>
    <row r="35" spans="1:22">
      <c r="B35" s="54"/>
      <c r="C35" s="54" t="s">
        <v>188</v>
      </c>
      <c r="D35" s="50"/>
      <c r="E35" s="52"/>
      <c r="F35" s="53" t="s">
        <v>188</v>
      </c>
      <c r="G35" s="271"/>
      <c r="H35" s="271"/>
      <c r="I35" s="271"/>
      <c r="J35" s="54">
        <f>G35+H35-I35</f>
        <v>0</v>
      </c>
      <c r="K35" s="271"/>
      <c r="L35" s="55">
        <f>J35-K35</f>
        <v>0</v>
      </c>
      <c r="M35" s="56" t="e">
        <f t="shared" si="0"/>
        <v>#DIV/0!</v>
      </c>
      <c r="N35" s="57" t="e">
        <f>G35/$N$12</f>
        <v>#DIV/0!</v>
      </c>
      <c r="O35" s="57" t="e">
        <f>G35/$O$12</f>
        <v>#DIV/0!</v>
      </c>
      <c r="P35" s="58" t="e">
        <f>IF(ABS(O35)&gt;100%,"O","X")</f>
        <v>#DIV/0!</v>
      </c>
      <c r="Q35" s="272"/>
      <c r="R35" s="59" t="e">
        <f>IF(P35="O","O",IF(Q35="O","O","X"))</f>
        <v>#DIV/0!</v>
      </c>
      <c r="S35" s="104"/>
      <c r="T35" s="225"/>
      <c r="U35" s="48"/>
      <c r="V35" s="49"/>
    </row>
    <row r="36" spans="1:22">
      <c r="B36" s="54"/>
      <c r="C36" s="54" t="s">
        <v>13</v>
      </c>
      <c r="D36" s="50"/>
      <c r="E36" s="52"/>
      <c r="F36" s="53" t="s">
        <v>13</v>
      </c>
      <c r="G36" s="271"/>
      <c r="H36" s="271"/>
      <c r="I36" s="271"/>
      <c r="J36" s="54">
        <f>G36+H36-I36</f>
        <v>0</v>
      </c>
      <c r="K36" s="271"/>
      <c r="L36" s="55">
        <f>J36-K36</f>
        <v>0</v>
      </c>
      <c r="M36" s="56" t="e">
        <f t="shared" si="0"/>
        <v>#DIV/0!</v>
      </c>
      <c r="N36" s="57" t="e">
        <f>G36/$N$12</f>
        <v>#DIV/0!</v>
      </c>
      <c r="O36" s="57" t="e">
        <f>G36/$O$12</f>
        <v>#DIV/0!</v>
      </c>
      <c r="P36" s="58" t="e">
        <f>IF(ABS(O36)&gt;100%,"O","X")</f>
        <v>#DIV/0!</v>
      </c>
      <c r="Q36" s="272"/>
      <c r="R36" s="59" t="e">
        <f>IF(P36="O","O",IF(Q36="O","O","X"))</f>
        <v>#DIV/0!</v>
      </c>
      <c r="S36" s="104"/>
      <c r="T36" s="225"/>
      <c r="U36" s="48"/>
      <c r="V36" s="49"/>
    </row>
    <row r="37" spans="1:22">
      <c r="B37" s="54"/>
      <c r="C37" s="54" t="s">
        <v>189</v>
      </c>
      <c r="D37" s="50"/>
      <c r="E37" s="52"/>
      <c r="F37" s="53" t="s">
        <v>189</v>
      </c>
      <c r="G37" s="271"/>
      <c r="H37" s="271"/>
      <c r="I37" s="271"/>
      <c r="J37" s="54">
        <f>G37+H37-I37</f>
        <v>0</v>
      </c>
      <c r="K37" s="271"/>
      <c r="L37" s="55">
        <f>J37-K37</f>
        <v>0</v>
      </c>
      <c r="M37" s="56" t="e">
        <f t="shared" si="0"/>
        <v>#DIV/0!</v>
      </c>
      <c r="N37" s="57" t="e">
        <f>G37/$N$12</f>
        <v>#DIV/0!</v>
      </c>
      <c r="O37" s="57" t="e">
        <f>G37/$O$12</f>
        <v>#DIV/0!</v>
      </c>
      <c r="P37" s="58" t="e">
        <f>IF(ABS(O37)&gt;100%,"O","X")</f>
        <v>#DIV/0!</v>
      </c>
      <c r="Q37" s="272"/>
      <c r="R37" s="59" t="e">
        <f>IF(P37="O","O",IF(Q37="O","O","X"))</f>
        <v>#DIV/0!</v>
      </c>
      <c r="S37" s="104"/>
      <c r="T37" s="225"/>
      <c r="U37" s="48"/>
      <c r="V37" s="49"/>
    </row>
    <row r="38" spans="1:22">
      <c r="B38" s="54"/>
      <c r="C38" s="54" t="s">
        <v>14</v>
      </c>
      <c r="D38" s="50"/>
      <c r="E38" s="52"/>
      <c r="F38" s="53" t="s">
        <v>14</v>
      </c>
      <c r="G38" s="271"/>
      <c r="H38" s="271"/>
      <c r="I38" s="271"/>
      <c r="J38" s="54">
        <f>G38+H38-I38</f>
        <v>0</v>
      </c>
      <c r="K38" s="271"/>
      <c r="L38" s="55">
        <f>J38-K38</f>
        <v>0</v>
      </c>
      <c r="M38" s="56" t="e">
        <f t="shared" si="0"/>
        <v>#DIV/0!</v>
      </c>
      <c r="N38" s="57" t="e">
        <f>G38/$N$12</f>
        <v>#DIV/0!</v>
      </c>
      <c r="O38" s="57" t="e">
        <f>G38/$O$12</f>
        <v>#DIV/0!</v>
      </c>
      <c r="P38" s="58" t="e">
        <f>IF(ABS(O38)&gt;100%,"O","X")</f>
        <v>#DIV/0!</v>
      </c>
      <c r="Q38" s="272"/>
      <c r="R38" s="59" t="e">
        <f>IF(P38="O","O",IF(Q38="O","O","X"))</f>
        <v>#DIV/0!</v>
      </c>
      <c r="S38" s="104"/>
      <c r="T38" s="225"/>
      <c r="U38" s="48"/>
      <c r="V38" s="49"/>
    </row>
    <row r="39" spans="1:22">
      <c r="B39" s="54"/>
      <c r="C39" s="54" t="s">
        <v>190</v>
      </c>
      <c r="D39" s="50"/>
      <c r="E39" s="52"/>
      <c r="F39" s="53" t="s">
        <v>190</v>
      </c>
      <c r="G39" s="271"/>
      <c r="H39" s="271"/>
      <c r="I39" s="271"/>
      <c r="J39" s="54">
        <f>G39+H39-I39</f>
        <v>0</v>
      </c>
      <c r="K39" s="271"/>
      <c r="L39" s="55">
        <f>J39-K39</f>
        <v>0</v>
      </c>
      <c r="M39" s="56" t="e">
        <f t="shared" si="0"/>
        <v>#DIV/0!</v>
      </c>
      <c r="N39" s="57" t="e">
        <f>G39/$N$12</f>
        <v>#DIV/0!</v>
      </c>
      <c r="O39" s="57" t="e">
        <f>G39/$O$12</f>
        <v>#DIV/0!</v>
      </c>
      <c r="P39" s="58" t="e">
        <f>IF(ABS(O39)&gt;100%,"O","X")</f>
        <v>#DIV/0!</v>
      </c>
      <c r="Q39" s="272"/>
      <c r="R39" s="59" t="e">
        <f>IF(P39="O","O",IF(Q39="O","O","X"))</f>
        <v>#DIV/0!</v>
      </c>
      <c r="S39" s="104"/>
      <c r="T39" s="225"/>
      <c r="U39" s="48"/>
      <c r="V39" s="49"/>
    </row>
    <row r="40" spans="1:22">
      <c r="B40" s="54"/>
      <c r="C40" s="54" t="s">
        <v>191</v>
      </c>
      <c r="D40" s="50"/>
      <c r="E40" s="52"/>
      <c r="F40" s="53" t="s">
        <v>191</v>
      </c>
      <c r="G40" s="271"/>
      <c r="H40" s="271"/>
      <c r="I40" s="271"/>
      <c r="J40" s="54">
        <f>G40+H40-I40</f>
        <v>0</v>
      </c>
      <c r="K40" s="271"/>
      <c r="L40" s="55">
        <f>J40-K40</f>
        <v>0</v>
      </c>
      <c r="M40" s="56" t="e">
        <f t="shared" si="0"/>
        <v>#DIV/0!</v>
      </c>
      <c r="N40" s="57" t="e">
        <f>G40/$N$12</f>
        <v>#DIV/0!</v>
      </c>
      <c r="O40" s="57" t="e">
        <f>G40/$O$12</f>
        <v>#DIV/0!</v>
      </c>
      <c r="P40" s="58" t="e">
        <f>IF(ABS(O40)&gt;100%,"O","X")</f>
        <v>#DIV/0!</v>
      </c>
      <c r="Q40" s="272"/>
      <c r="R40" s="59" t="e">
        <f>IF(P40="O","O",IF(Q40="O","O","X"))</f>
        <v>#DIV/0!</v>
      </c>
      <c r="S40" s="104"/>
      <c r="T40" s="225"/>
      <c r="U40" s="48"/>
      <c r="V40" s="49"/>
    </row>
    <row r="41" spans="1:22" s="9" customFormat="1">
      <c r="A41" s="5"/>
      <c r="B41" s="258"/>
      <c r="C41" s="258"/>
      <c r="D41" s="44" t="s">
        <v>141</v>
      </c>
      <c r="E41" s="45"/>
      <c r="F41" s="61"/>
      <c r="G41" s="258">
        <f>G42+G50+G66+G71</f>
        <v>0</v>
      </c>
      <c r="H41" s="258"/>
      <c r="I41" s="258"/>
      <c r="J41" s="258">
        <f>J42+J50+J66+J71</f>
        <v>0</v>
      </c>
      <c r="K41" s="258">
        <f>K42+K50+K66+K71</f>
        <v>0</v>
      </c>
      <c r="L41" s="258">
        <f>L42+L50+L66+L71</f>
        <v>0</v>
      </c>
      <c r="M41" s="259" t="e">
        <f t="shared" si="0"/>
        <v>#DIV/0!</v>
      </c>
      <c r="N41" s="236" t="e">
        <f t="shared" ref="N41:N42" si="9">G41/$N$12</f>
        <v>#DIV/0!</v>
      </c>
      <c r="O41" s="236" t="e">
        <f t="shared" ref="O41:O42" si="10">G41/$O$12</f>
        <v>#DIV/0!</v>
      </c>
      <c r="P41" s="237" t="e">
        <f t="shared" ref="P41:P42" si="11">IF(ABS(O41)&gt;100%,"O","X")</f>
        <v>#DIV/0!</v>
      </c>
      <c r="Q41" s="240"/>
      <c r="R41" s="238" t="e">
        <f t="shared" ref="R41:R42" si="12">IF(P41="O","O",IF(Q41="O","O","X"))</f>
        <v>#DIV/0!</v>
      </c>
      <c r="S41" s="263"/>
      <c r="T41" s="99"/>
      <c r="U41" s="93"/>
      <c r="V41" s="94"/>
    </row>
    <row r="42" spans="1:22" s="9" customFormat="1">
      <c r="A42" s="5"/>
      <c r="B42" s="260"/>
      <c r="C42" s="260"/>
      <c r="D42" s="44"/>
      <c r="E42" s="45" t="s">
        <v>192</v>
      </c>
      <c r="F42" s="61"/>
      <c r="G42" s="260">
        <f>SUM(G43:G49)</f>
        <v>0</v>
      </c>
      <c r="H42" s="260"/>
      <c r="I42" s="260"/>
      <c r="J42" s="260">
        <f>SUM(J43:J49)</f>
        <v>0</v>
      </c>
      <c r="K42" s="260">
        <f>SUM(K43:K49)</f>
        <v>0</v>
      </c>
      <c r="L42" s="260">
        <f>SUM(L43:L49)</f>
        <v>0</v>
      </c>
      <c r="M42" s="261" t="e">
        <f t="shared" si="0"/>
        <v>#DIV/0!</v>
      </c>
      <c r="N42" s="236" t="e">
        <f t="shared" si="9"/>
        <v>#DIV/0!</v>
      </c>
      <c r="O42" s="236" t="e">
        <f t="shared" si="10"/>
        <v>#DIV/0!</v>
      </c>
      <c r="P42" s="237" t="e">
        <f t="shared" si="11"/>
        <v>#DIV/0!</v>
      </c>
      <c r="Q42" s="240"/>
      <c r="R42" s="238" t="e">
        <f t="shared" si="12"/>
        <v>#DIV/0!</v>
      </c>
      <c r="S42" s="262"/>
      <c r="T42" s="241"/>
      <c r="U42" s="242"/>
      <c r="V42" s="243"/>
    </row>
    <row r="43" spans="1:22">
      <c r="B43" s="54"/>
      <c r="C43" s="54" t="s">
        <v>193</v>
      </c>
      <c r="D43" s="50"/>
      <c r="E43" s="52"/>
      <c r="F43" s="53" t="s">
        <v>193</v>
      </c>
      <c r="G43" s="271"/>
      <c r="H43" s="271"/>
      <c r="I43" s="271"/>
      <c r="J43" s="54">
        <f>G43+H43-I43</f>
        <v>0</v>
      </c>
      <c r="K43" s="271"/>
      <c r="L43" s="55">
        <f>J43-K43</f>
        <v>0</v>
      </c>
      <c r="M43" s="56" t="e">
        <f t="shared" si="0"/>
        <v>#DIV/0!</v>
      </c>
      <c r="N43" s="57" t="e">
        <f>G43/$N$12</f>
        <v>#DIV/0!</v>
      </c>
      <c r="O43" s="57" t="e">
        <f>G43/$O$12</f>
        <v>#DIV/0!</v>
      </c>
      <c r="P43" s="58" t="e">
        <f>IF(ABS(O43)&gt;100%,"O","X")</f>
        <v>#DIV/0!</v>
      </c>
      <c r="Q43" s="272"/>
      <c r="R43" s="59" t="e">
        <f>IF(P43="O","O",IF(Q43="O","O","X"))</f>
        <v>#DIV/0!</v>
      </c>
      <c r="S43" s="104"/>
      <c r="T43" s="225"/>
      <c r="U43" s="48"/>
      <c r="V43" s="49"/>
    </row>
    <row r="44" spans="1:22">
      <c r="B44" s="54"/>
      <c r="C44" s="54" t="s">
        <v>194</v>
      </c>
      <c r="D44" s="50"/>
      <c r="E44" s="52"/>
      <c r="F44" s="53" t="s">
        <v>194</v>
      </c>
      <c r="G44" s="271"/>
      <c r="H44" s="271"/>
      <c r="I44" s="271"/>
      <c r="J44" s="54">
        <f>G44+H44-I44</f>
        <v>0</v>
      </c>
      <c r="K44" s="271"/>
      <c r="L44" s="55">
        <f>J44-K44</f>
        <v>0</v>
      </c>
      <c r="M44" s="56" t="e">
        <f t="shared" si="0"/>
        <v>#DIV/0!</v>
      </c>
      <c r="N44" s="57" t="e">
        <f>G44/$N$12</f>
        <v>#DIV/0!</v>
      </c>
      <c r="O44" s="57" t="e">
        <f>G44/$O$12</f>
        <v>#DIV/0!</v>
      </c>
      <c r="P44" s="58" t="e">
        <f>IF(ABS(O44)&gt;100%,"O","X")</f>
        <v>#DIV/0!</v>
      </c>
      <c r="Q44" s="272"/>
      <c r="R44" s="59" t="e">
        <f>IF(P44="O","O",IF(Q44="O","O","X"))</f>
        <v>#DIV/0!</v>
      </c>
      <c r="S44" s="104"/>
      <c r="T44" s="225"/>
      <c r="U44" s="48"/>
      <c r="V44" s="49"/>
    </row>
    <row r="45" spans="1:22">
      <c r="B45" s="54"/>
      <c r="C45" s="54" t="s">
        <v>195</v>
      </c>
      <c r="D45" s="50"/>
      <c r="E45" s="52"/>
      <c r="F45" s="53" t="s">
        <v>195</v>
      </c>
      <c r="G45" s="271"/>
      <c r="H45" s="271"/>
      <c r="I45" s="271"/>
      <c r="J45" s="54">
        <f>G45+H45-I45</f>
        <v>0</v>
      </c>
      <c r="K45" s="271"/>
      <c r="L45" s="55">
        <f>J45-K45</f>
        <v>0</v>
      </c>
      <c r="M45" s="56" t="e">
        <f t="shared" si="0"/>
        <v>#DIV/0!</v>
      </c>
      <c r="N45" s="57" t="e">
        <f>G45/$N$12</f>
        <v>#DIV/0!</v>
      </c>
      <c r="O45" s="57" t="e">
        <f>G45/$O$12</f>
        <v>#DIV/0!</v>
      </c>
      <c r="P45" s="58" t="e">
        <f>IF(ABS(O45)&gt;100%,"O","X")</f>
        <v>#DIV/0!</v>
      </c>
      <c r="Q45" s="272"/>
      <c r="R45" s="59" t="e">
        <f>IF(P45="O","O",IF(Q45="O","O","X"))</f>
        <v>#DIV/0!</v>
      </c>
      <c r="S45" s="104"/>
      <c r="T45" s="225"/>
      <c r="U45" s="48"/>
      <c r="V45" s="49"/>
    </row>
    <row r="46" spans="1:22">
      <c r="B46" s="54"/>
      <c r="C46" s="54" t="s">
        <v>196</v>
      </c>
      <c r="D46" s="50"/>
      <c r="E46" s="52"/>
      <c r="F46" s="53" t="s">
        <v>196</v>
      </c>
      <c r="G46" s="271"/>
      <c r="H46" s="271"/>
      <c r="I46" s="271"/>
      <c r="J46" s="54">
        <f>G46+H46-I46</f>
        <v>0</v>
      </c>
      <c r="K46" s="271"/>
      <c r="L46" s="55">
        <f>J46-K46</f>
        <v>0</v>
      </c>
      <c r="M46" s="56" t="e">
        <f t="shared" si="0"/>
        <v>#DIV/0!</v>
      </c>
      <c r="N46" s="57" t="e">
        <f>G46/$N$12</f>
        <v>#DIV/0!</v>
      </c>
      <c r="O46" s="57" t="e">
        <f>G46/$O$12</f>
        <v>#DIV/0!</v>
      </c>
      <c r="P46" s="58" t="e">
        <f>IF(ABS(O46)&gt;100%,"O","X")</f>
        <v>#DIV/0!</v>
      </c>
      <c r="Q46" s="272"/>
      <c r="R46" s="59" t="e">
        <f>IF(P46="O","O",IF(Q46="O","O","X"))</f>
        <v>#DIV/0!</v>
      </c>
      <c r="S46" s="104"/>
      <c r="T46" s="225"/>
      <c r="U46" s="48"/>
      <c r="V46" s="49"/>
    </row>
    <row r="47" spans="1:22">
      <c r="B47" s="54"/>
      <c r="C47" s="54" t="s">
        <v>197</v>
      </c>
      <c r="D47" s="50"/>
      <c r="E47" s="52"/>
      <c r="F47" s="53" t="s">
        <v>197</v>
      </c>
      <c r="G47" s="271"/>
      <c r="H47" s="271"/>
      <c r="I47" s="271"/>
      <c r="J47" s="54">
        <f>G47+H47-I47</f>
        <v>0</v>
      </c>
      <c r="K47" s="271"/>
      <c r="L47" s="55">
        <f>J47-K47</f>
        <v>0</v>
      </c>
      <c r="M47" s="56" t="e">
        <f t="shared" si="0"/>
        <v>#DIV/0!</v>
      </c>
      <c r="N47" s="57" t="e">
        <f>G47/$N$12</f>
        <v>#DIV/0!</v>
      </c>
      <c r="O47" s="57" t="e">
        <f>G47/$O$12</f>
        <v>#DIV/0!</v>
      </c>
      <c r="P47" s="58" t="e">
        <f>IF(ABS(O47)&gt;100%,"O","X")</f>
        <v>#DIV/0!</v>
      </c>
      <c r="Q47" s="272"/>
      <c r="R47" s="59" t="e">
        <f>IF(P47="O","O",IF(Q47="O","O","X"))</f>
        <v>#DIV/0!</v>
      </c>
      <c r="S47" s="104"/>
      <c r="T47" s="225"/>
      <c r="U47" s="48"/>
      <c r="V47" s="49"/>
    </row>
    <row r="48" spans="1:22">
      <c r="B48" s="54"/>
      <c r="C48" s="54" t="s">
        <v>198</v>
      </c>
      <c r="D48" s="50"/>
      <c r="E48" s="52"/>
      <c r="F48" s="53" t="s">
        <v>198</v>
      </c>
      <c r="G48" s="271"/>
      <c r="H48" s="271"/>
      <c r="I48" s="271"/>
      <c r="J48" s="54">
        <f>G48+H48-I48</f>
        <v>0</v>
      </c>
      <c r="K48" s="271"/>
      <c r="L48" s="55">
        <f>J48-K48</f>
        <v>0</v>
      </c>
      <c r="M48" s="56" t="e">
        <f t="shared" si="0"/>
        <v>#DIV/0!</v>
      </c>
      <c r="N48" s="57" t="e">
        <f>G48/$N$12</f>
        <v>#DIV/0!</v>
      </c>
      <c r="O48" s="57" t="e">
        <f>G48/$O$12</f>
        <v>#DIV/0!</v>
      </c>
      <c r="P48" s="58" t="e">
        <f>IF(ABS(O48)&gt;100%,"O","X")</f>
        <v>#DIV/0!</v>
      </c>
      <c r="Q48" s="272"/>
      <c r="R48" s="59" t="e">
        <f>IF(P48="O","O",IF(Q48="O","O","X"))</f>
        <v>#DIV/0!</v>
      </c>
      <c r="S48" s="104"/>
      <c r="T48" s="225"/>
      <c r="U48" s="48"/>
      <c r="V48" s="49"/>
    </row>
    <row r="49" spans="1:22">
      <c r="B49" s="54"/>
      <c r="C49" s="54" t="s">
        <v>199</v>
      </c>
      <c r="D49" s="50"/>
      <c r="E49" s="52"/>
      <c r="F49" s="53" t="s">
        <v>199</v>
      </c>
      <c r="G49" s="271"/>
      <c r="H49" s="271"/>
      <c r="I49" s="271"/>
      <c r="J49" s="54">
        <f>G49+H49-I49</f>
        <v>0</v>
      </c>
      <c r="K49" s="271"/>
      <c r="L49" s="55">
        <f>J49-K49</f>
        <v>0</v>
      </c>
      <c r="M49" s="56" t="e">
        <f t="shared" si="0"/>
        <v>#DIV/0!</v>
      </c>
      <c r="N49" s="57" t="e">
        <f>G49/$N$12</f>
        <v>#DIV/0!</v>
      </c>
      <c r="O49" s="57" t="e">
        <f>G49/$O$12</f>
        <v>#DIV/0!</v>
      </c>
      <c r="P49" s="58" t="e">
        <f>IF(ABS(O49)&gt;100%,"O","X")</f>
        <v>#DIV/0!</v>
      </c>
      <c r="Q49" s="272"/>
      <c r="R49" s="59" t="e">
        <f>IF(P49="O","O",IF(Q49="O","O","X"))</f>
        <v>#DIV/0!</v>
      </c>
      <c r="S49" s="104"/>
      <c r="T49" s="225"/>
      <c r="U49" s="48"/>
      <c r="V49" s="49"/>
    </row>
    <row r="50" spans="1:22" s="9" customFormat="1">
      <c r="A50" s="5"/>
      <c r="B50" s="260"/>
      <c r="C50" s="260"/>
      <c r="D50" s="44"/>
      <c r="E50" s="45" t="s">
        <v>200</v>
      </c>
      <c r="F50" s="61"/>
      <c r="G50" s="260">
        <f>SUM(G51:G65)</f>
        <v>0</v>
      </c>
      <c r="H50" s="260"/>
      <c r="I50" s="260"/>
      <c r="J50" s="260">
        <f>SUM(J51:J65)</f>
        <v>0</v>
      </c>
      <c r="K50" s="260">
        <f>SUM(K51:K65)</f>
        <v>0</v>
      </c>
      <c r="L50" s="260">
        <f>SUM(L51:L65)</f>
        <v>0</v>
      </c>
      <c r="M50" s="261" t="e">
        <f t="shared" si="0"/>
        <v>#DIV/0!</v>
      </c>
      <c r="N50" s="236" t="e">
        <f t="shared" ref="N50" si="13">G50/$N$12</f>
        <v>#DIV/0!</v>
      </c>
      <c r="O50" s="236" t="e">
        <f t="shared" ref="O50" si="14">G50/$O$12</f>
        <v>#DIV/0!</v>
      </c>
      <c r="P50" s="237" t="e">
        <f t="shared" ref="P50" si="15">IF(ABS(O50)&gt;100%,"O","X")</f>
        <v>#DIV/0!</v>
      </c>
      <c r="Q50" s="240"/>
      <c r="R50" s="238" t="e">
        <f t="shared" ref="R50" si="16">IF(P50="O","O",IF(Q50="O","O","X"))</f>
        <v>#DIV/0!</v>
      </c>
      <c r="S50" s="262"/>
      <c r="T50" s="241"/>
      <c r="U50" s="242"/>
      <c r="V50" s="243"/>
    </row>
    <row r="51" spans="1:22">
      <c r="B51" s="54"/>
      <c r="C51" s="54" t="s">
        <v>45</v>
      </c>
      <c r="D51" s="50"/>
      <c r="E51" s="52"/>
      <c r="F51" s="53" t="s">
        <v>45</v>
      </c>
      <c r="G51" s="271"/>
      <c r="H51" s="271"/>
      <c r="I51" s="271"/>
      <c r="J51" s="54">
        <f>G51+H51-I51</f>
        <v>0</v>
      </c>
      <c r="K51" s="271"/>
      <c r="L51" s="55">
        <f>J51-K51</f>
        <v>0</v>
      </c>
      <c r="M51" s="56" t="e">
        <f t="shared" si="0"/>
        <v>#DIV/0!</v>
      </c>
      <c r="N51" s="57" t="e">
        <f>G51/$N$12</f>
        <v>#DIV/0!</v>
      </c>
      <c r="O51" s="57" t="e">
        <f>G51/$O$12</f>
        <v>#DIV/0!</v>
      </c>
      <c r="P51" s="58" t="e">
        <f>IF(ABS(O51)&gt;100%,"O","X")</f>
        <v>#DIV/0!</v>
      </c>
      <c r="Q51" s="272"/>
      <c r="R51" s="59" t="e">
        <f>IF(P51="O","O",IF(Q51="O","O","X"))</f>
        <v>#DIV/0!</v>
      </c>
      <c r="S51" s="104"/>
      <c r="T51" s="225"/>
      <c r="U51" s="48"/>
      <c r="V51" s="49"/>
    </row>
    <row r="52" spans="1:22">
      <c r="B52" s="54"/>
      <c r="C52" s="54" t="s">
        <v>46</v>
      </c>
      <c r="D52" s="50"/>
      <c r="E52" s="52"/>
      <c r="F52" s="53" t="s">
        <v>46</v>
      </c>
      <c r="G52" s="271"/>
      <c r="H52" s="271"/>
      <c r="I52" s="271"/>
      <c r="J52" s="54">
        <f>G52+H52-I52</f>
        <v>0</v>
      </c>
      <c r="K52" s="271"/>
      <c r="L52" s="55">
        <f>J52-K52</f>
        <v>0</v>
      </c>
      <c r="M52" s="56" t="e">
        <f t="shared" si="0"/>
        <v>#DIV/0!</v>
      </c>
      <c r="N52" s="57" t="e">
        <f>G52/$N$12</f>
        <v>#DIV/0!</v>
      </c>
      <c r="O52" s="57" t="e">
        <f>G52/$O$12</f>
        <v>#DIV/0!</v>
      </c>
      <c r="P52" s="58" t="e">
        <f>IF(ABS(O52)&gt;100%,"O","X")</f>
        <v>#DIV/0!</v>
      </c>
      <c r="Q52" s="272"/>
      <c r="R52" s="59" t="e">
        <f>IF(P52="O","O",IF(Q52="O","O","X"))</f>
        <v>#DIV/0!</v>
      </c>
      <c r="S52" s="104"/>
      <c r="T52" s="225"/>
      <c r="U52" s="48"/>
      <c r="V52" s="49"/>
    </row>
    <row r="53" spans="1:22">
      <c r="B53" s="54"/>
      <c r="C53" s="54" t="s">
        <v>201</v>
      </c>
      <c r="D53" s="50"/>
      <c r="E53" s="52"/>
      <c r="F53" s="53" t="s">
        <v>201</v>
      </c>
      <c r="G53" s="271"/>
      <c r="H53" s="271"/>
      <c r="I53" s="271"/>
      <c r="J53" s="54">
        <f>G53+H53-I53</f>
        <v>0</v>
      </c>
      <c r="K53" s="271"/>
      <c r="L53" s="55">
        <f>J53-K53</f>
        <v>0</v>
      </c>
      <c r="M53" s="56" t="e">
        <f t="shared" si="0"/>
        <v>#DIV/0!</v>
      </c>
      <c r="N53" s="57" t="e">
        <f>G53/$N$12</f>
        <v>#DIV/0!</v>
      </c>
      <c r="O53" s="57" t="e">
        <f>G53/$O$12</f>
        <v>#DIV/0!</v>
      </c>
      <c r="P53" s="58" t="e">
        <f>IF(ABS(O53)&gt;100%,"O","X")</f>
        <v>#DIV/0!</v>
      </c>
      <c r="Q53" s="272"/>
      <c r="R53" s="59" t="e">
        <f>IF(P53="O","O",IF(Q53="O","O","X"))</f>
        <v>#DIV/0!</v>
      </c>
      <c r="S53" s="104"/>
      <c r="T53" s="225"/>
      <c r="U53" s="48"/>
      <c r="V53" s="49"/>
    </row>
    <row r="54" spans="1:22">
      <c r="B54" s="54"/>
      <c r="C54" s="54" t="s">
        <v>58</v>
      </c>
      <c r="D54" s="50"/>
      <c r="E54" s="52"/>
      <c r="F54" s="53" t="s">
        <v>58</v>
      </c>
      <c r="G54" s="271"/>
      <c r="H54" s="271"/>
      <c r="I54" s="271"/>
      <c r="J54" s="54">
        <f>G54+H54-I54</f>
        <v>0</v>
      </c>
      <c r="K54" s="271"/>
      <c r="L54" s="55">
        <f>J54-K54</f>
        <v>0</v>
      </c>
      <c r="M54" s="56" t="e">
        <f t="shared" si="0"/>
        <v>#DIV/0!</v>
      </c>
      <c r="N54" s="57" t="e">
        <f>G54/$N$12</f>
        <v>#DIV/0!</v>
      </c>
      <c r="O54" s="57" t="e">
        <f>G54/$O$12</f>
        <v>#DIV/0!</v>
      </c>
      <c r="P54" s="58" t="e">
        <f>IF(ABS(O54)&gt;100%,"O","X")</f>
        <v>#DIV/0!</v>
      </c>
      <c r="Q54" s="272"/>
      <c r="R54" s="59" t="e">
        <f>IF(P54="O","O",IF(Q54="O","O","X"))</f>
        <v>#DIV/0!</v>
      </c>
      <c r="S54" s="104"/>
      <c r="T54" s="225"/>
      <c r="U54" s="48"/>
      <c r="V54" s="49"/>
    </row>
    <row r="55" spans="1:22">
      <c r="B55" s="54"/>
      <c r="C55" s="54" t="s">
        <v>202</v>
      </c>
      <c r="D55" s="50"/>
      <c r="E55" s="52"/>
      <c r="F55" s="53" t="s">
        <v>202</v>
      </c>
      <c r="G55" s="271"/>
      <c r="H55" s="271"/>
      <c r="I55" s="271"/>
      <c r="J55" s="54">
        <f>G55+H55-I55</f>
        <v>0</v>
      </c>
      <c r="K55" s="271"/>
      <c r="L55" s="55">
        <f>J55-K55</f>
        <v>0</v>
      </c>
      <c r="M55" s="56" t="e">
        <f t="shared" si="0"/>
        <v>#DIV/0!</v>
      </c>
      <c r="N55" s="57" t="e">
        <f>G55/$N$12</f>
        <v>#DIV/0!</v>
      </c>
      <c r="O55" s="57" t="e">
        <f>G55/$O$12</f>
        <v>#DIV/0!</v>
      </c>
      <c r="P55" s="58" t="e">
        <f>IF(ABS(O55)&gt;100%,"O","X")</f>
        <v>#DIV/0!</v>
      </c>
      <c r="Q55" s="272"/>
      <c r="R55" s="59" t="e">
        <f>IF(P55="O","O",IF(Q55="O","O","X"))</f>
        <v>#DIV/0!</v>
      </c>
      <c r="S55" s="104"/>
      <c r="T55" s="225"/>
      <c r="U55" s="48"/>
      <c r="V55" s="49"/>
    </row>
    <row r="56" spans="1:22">
      <c r="B56" s="54"/>
      <c r="C56" s="54" t="s">
        <v>15</v>
      </c>
      <c r="D56" s="50"/>
      <c r="E56" s="52"/>
      <c r="F56" s="53" t="s">
        <v>15</v>
      </c>
      <c r="G56" s="271"/>
      <c r="H56" s="271"/>
      <c r="I56" s="271"/>
      <c r="J56" s="54">
        <f>G56+H56-I56</f>
        <v>0</v>
      </c>
      <c r="K56" s="271"/>
      <c r="L56" s="55">
        <f>J56-K56</f>
        <v>0</v>
      </c>
      <c r="M56" s="56" t="e">
        <f t="shared" si="0"/>
        <v>#DIV/0!</v>
      </c>
      <c r="N56" s="57" t="e">
        <f>G56/$N$12</f>
        <v>#DIV/0!</v>
      </c>
      <c r="O56" s="57" t="e">
        <f>G56/$O$12</f>
        <v>#DIV/0!</v>
      </c>
      <c r="P56" s="58" t="e">
        <f>IF(ABS(O56)&gt;100%,"O","X")</f>
        <v>#DIV/0!</v>
      </c>
      <c r="Q56" s="272"/>
      <c r="R56" s="59" t="e">
        <f>IF(P56="O","O",IF(Q56="O","O","X"))</f>
        <v>#DIV/0!</v>
      </c>
      <c r="S56" s="104"/>
      <c r="T56" s="225"/>
      <c r="U56" s="48"/>
      <c r="V56" s="49"/>
    </row>
    <row r="57" spans="1:22">
      <c r="B57" s="54"/>
      <c r="C57" s="54" t="s">
        <v>203</v>
      </c>
      <c r="D57" s="50"/>
      <c r="E57" s="52"/>
      <c r="F57" s="53" t="s">
        <v>203</v>
      </c>
      <c r="G57" s="271"/>
      <c r="H57" s="271"/>
      <c r="I57" s="271"/>
      <c r="J57" s="54">
        <f>G57+H57-I57</f>
        <v>0</v>
      </c>
      <c r="K57" s="271"/>
      <c r="L57" s="55">
        <f>J57-K57</f>
        <v>0</v>
      </c>
      <c r="M57" s="56" t="e">
        <f t="shared" si="0"/>
        <v>#DIV/0!</v>
      </c>
      <c r="N57" s="57" t="e">
        <f>G57/$N$12</f>
        <v>#DIV/0!</v>
      </c>
      <c r="O57" s="57" t="e">
        <f>G57/$O$12</f>
        <v>#DIV/0!</v>
      </c>
      <c r="P57" s="58" t="e">
        <f>IF(ABS(O57)&gt;100%,"O","X")</f>
        <v>#DIV/0!</v>
      </c>
      <c r="Q57" s="272"/>
      <c r="R57" s="59" t="e">
        <f>IF(P57="O","O",IF(Q57="O","O","X"))</f>
        <v>#DIV/0!</v>
      </c>
      <c r="S57" s="104"/>
      <c r="T57" s="225"/>
      <c r="U57" s="48"/>
      <c r="V57" s="49"/>
    </row>
    <row r="58" spans="1:22">
      <c r="B58" s="54"/>
      <c r="C58" s="54" t="s">
        <v>16</v>
      </c>
      <c r="D58" s="50"/>
      <c r="E58" s="52"/>
      <c r="F58" s="53" t="s">
        <v>16</v>
      </c>
      <c r="G58" s="271"/>
      <c r="H58" s="271"/>
      <c r="I58" s="271"/>
      <c r="J58" s="54">
        <f>G58+H58-I58</f>
        <v>0</v>
      </c>
      <c r="K58" s="271"/>
      <c r="L58" s="55">
        <f>J58-K58</f>
        <v>0</v>
      </c>
      <c r="M58" s="56" t="e">
        <f t="shared" si="0"/>
        <v>#DIV/0!</v>
      </c>
      <c r="N58" s="57" t="e">
        <f>G58/$N$12</f>
        <v>#DIV/0!</v>
      </c>
      <c r="O58" s="57" t="e">
        <f>G58/$O$12</f>
        <v>#DIV/0!</v>
      </c>
      <c r="P58" s="58" t="e">
        <f>IF(ABS(O58)&gt;100%,"O","X")</f>
        <v>#DIV/0!</v>
      </c>
      <c r="Q58" s="272"/>
      <c r="R58" s="59" t="e">
        <f>IF(P58="O","O",IF(Q58="O","O","X"))</f>
        <v>#DIV/0!</v>
      </c>
      <c r="S58" s="104"/>
      <c r="T58" s="225"/>
      <c r="U58" s="48"/>
      <c r="V58" s="49"/>
    </row>
    <row r="59" spans="1:22">
      <c r="B59" s="54"/>
      <c r="C59" s="54" t="s">
        <v>204</v>
      </c>
      <c r="D59" s="50"/>
      <c r="E59" s="52"/>
      <c r="F59" s="53" t="s">
        <v>204</v>
      </c>
      <c r="G59" s="271"/>
      <c r="H59" s="271"/>
      <c r="I59" s="271"/>
      <c r="J59" s="54">
        <f>G59+H59-I59</f>
        <v>0</v>
      </c>
      <c r="K59" s="271"/>
      <c r="L59" s="55">
        <f>J59-K59</f>
        <v>0</v>
      </c>
      <c r="M59" s="56" t="e">
        <f t="shared" si="0"/>
        <v>#DIV/0!</v>
      </c>
      <c r="N59" s="57" t="e">
        <f>G59/$N$12</f>
        <v>#DIV/0!</v>
      </c>
      <c r="O59" s="57" t="e">
        <f>G59/$O$12</f>
        <v>#DIV/0!</v>
      </c>
      <c r="P59" s="58" t="e">
        <f>IF(ABS(O59)&gt;100%,"O","X")</f>
        <v>#DIV/0!</v>
      </c>
      <c r="Q59" s="272"/>
      <c r="R59" s="59" t="e">
        <f>IF(P59="O","O",IF(Q59="O","O","X"))</f>
        <v>#DIV/0!</v>
      </c>
      <c r="S59" s="104"/>
      <c r="T59" s="225"/>
      <c r="U59" s="48"/>
      <c r="V59" s="49"/>
    </row>
    <row r="60" spans="1:22">
      <c r="B60" s="54"/>
      <c r="C60" s="54" t="s">
        <v>26</v>
      </c>
      <c r="D60" s="50"/>
      <c r="E60" s="52"/>
      <c r="F60" s="53" t="s">
        <v>26</v>
      </c>
      <c r="G60" s="271"/>
      <c r="H60" s="271"/>
      <c r="I60" s="271"/>
      <c r="J60" s="54">
        <f>G60+H60-I60</f>
        <v>0</v>
      </c>
      <c r="K60" s="271"/>
      <c r="L60" s="55">
        <f>J60-K60</f>
        <v>0</v>
      </c>
      <c r="M60" s="56" t="e">
        <f t="shared" si="0"/>
        <v>#DIV/0!</v>
      </c>
      <c r="N60" s="57" t="e">
        <f>G60/$N$12</f>
        <v>#DIV/0!</v>
      </c>
      <c r="O60" s="57" t="e">
        <f>G60/$O$12</f>
        <v>#DIV/0!</v>
      </c>
      <c r="P60" s="58" t="e">
        <f>IF(ABS(O60)&gt;100%,"O","X")</f>
        <v>#DIV/0!</v>
      </c>
      <c r="Q60" s="272"/>
      <c r="R60" s="59" t="e">
        <f>IF(P60="O","O",IF(Q60="O","O","X"))</f>
        <v>#DIV/0!</v>
      </c>
      <c r="S60" s="104"/>
      <c r="T60" s="225"/>
      <c r="U60" s="48"/>
      <c r="V60" s="49"/>
    </row>
    <row r="61" spans="1:22">
      <c r="B61" s="54"/>
      <c r="C61" s="54" t="s">
        <v>205</v>
      </c>
      <c r="D61" s="50"/>
      <c r="E61" s="52"/>
      <c r="F61" s="53" t="s">
        <v>205</v>
      </c>
      <c r="G61" s="271"/>
      <c r="H61" s="271"/>
      <c r="I61" s="271"/>
      <c r="J61" s="54">
        <f>G61+H61-I61</f>
        <v>0</v>
      </c>
      <c r="K61" s="271"/>
      <c r="L61" s="55">
        <f>J61-K61</f>
        <v>0</v>
      </c>
      <c r="M61" s="56" t="e">
        <f t="shared" si="0"/>
        <v>#DIV/0!</v>
      </c>
      <c r="N61" s="57" t="e">
        <f>G61/$N$12</f>
        <v>#DIV/0!</v>
      </c>
      <c r="O61" s="57" t="e">
        <f>G61/$O$12</f>
        <v>#DIV/0!</v>
      </c>
      <c r="P61" s="58" t="e">
        <f>IF(ABS(O61)&gt;100%,"O","X")</f>
        <v>#DIV/0!</v>
      </c>
      <c r="Q61" s="272"/>
      <c r="R61" s="59" t="e">
        <f>IF(P61="O","O",IF(Q61="O","O","X"))</f>
        <v>#DIV/0!</v>
      </c>
      <c r="S61" s="104"/>
      <c r="T61" s="225"/>
      <c r="U61" s="48"/>
      <c r="V61" s="49"/>
    </row>
    <row r="62" spans="1:22">
      <c r="B62" s="54"/>
      <c r="C62" s="54" t="s">
        <v>103</v>
      </c>
      <c r="D62" s="50"/>
      <c r="E62" s="52"/>
      <c r="F62" s="53" t="s">
        <v>103</v>
      </c>
      <c r="G62" s="271"/>
      <c r="H62" s="271"/>
      <c r="I62" s="271"/>
      <c r="J62" s="54">
        <f>G62+H62-I62</f>
        <v>0</v>
      </c>
      <c r="K62" s="271"/>
      <c r="L62" s="55">
        <f>J62-K62</f>
        <v>0</v>
      </c>
      <c r="M62" s="56" t="e">
        <f t="shared" si="0"/>
        <v>#DIV/0!</v>
      </c>
      <c r="N62" s="57" t="e">
        <f>G62/$N$12</f>
        <v>#DIV/0!</v>
      </c>
      <c r="O62" s="57" t="e">
        <f>G62/$O$12</f>
        <v>#DIV/0!</v>
      </c>
      <c r="P62" s="58" t="e">
        <f>IF(ABS(O62)&gt;100%,"O","X")</f>
        <v>#DIV/0!</v>
      </c>
      <c r="Q62" s="272"/>
      <c r="R62" s="59" t="e">
        <f>IF(P62="O","O",IF(Q62="O","O","X"))</f>
        <v>#DIV/0!</v>
      </c>
      <c r="S62" s="104"/>
      <c r="T62" s="225"/>
      <c r="U62" s="48"/>
      <c r="V62" s="49"/>
    </row>
    <row r="63" spans="1:22">
      <c r="B63" s="54"/>
      <c r="C63" s="54" t="s">
        <v>206</v>
      </c>
      <c r="D63" s="50"/>
      <c r="E63" s="52"/>
      <c r="F63" s="53" t="s">
        <v>206</v>
      </c>
      <c r="G63" s="271"/>
      <c r="H63" s="271"/>
      <c r="I63" s="271"/>
      <c r="J63" s="54">
        <f>G63+H63-I63</f>
        <v>0</v>
      </c>
      <c r="K63" s="271"/>
      <c r="L63" s="55">
        <f>J63-K63</f>
        <v>0</v>
      </c>
      <c r="M63" s="56" t="e">
        <f t="shared" si="0"/>
        <v>#DIV/0!</v>
      </c>
      <c r="N63" s="57" t="e">
        <f>G63/$N$12</f>
        <v>#DIV/0!</v>
      </c>
      <c r="O63" s="57" t="e">
        <f>G63/$O$12</f>
        <v>#DIV/0!</v>
      </c>
      <c r="P63" s="58" t="e">
        <f>IF(ABS(O63)&gt;100%,"O","X")</f>
        <v>#DIV/0!</v>
      </c>
      <c r="Q63" s="272"/>
      <c r="R63" s="59" t="e">
        <f>IF(P63="O","O",IF(Q63="O","O","X"))</f>
        <v>#DIV/0!</v>
      </c>
      <c r="S63" s="104"/>
      <c r="T63" s="225"/>
      <c r="U63" s="48"/>
      <c r="V63" s="49"/>
    </row>
    <row r="64" spans="1:22">
      <c r="B64" s="54"/>
      <c r="C64" s="54" t="s">
        <v>47</v>
      </c>
      <c r="D64" s="50"/>
      <c r="E64" s="52"/>
      <c r="F64" s="53" t="s">
        <v>47</v>
      </c>
      <c r="G64" s="271"/>
      <c r="H64" s="271"/>
      <c r="I64" s="271"/>
      <c r="J64" s="54">
        <f>G64+H64-I64</f>
        <v>0</v>
      </c>
      <c r="K64" s="271"/>
      <c r="L64" s="55">
        <f>J64-K64</f>
        <v>0</v>
      </c>
      <c r="M64" s="56" t="e">
        <f t="shared" si="0"/>
        <v>#DIV/0!</v>
      </c>
      <c r="N64" s="57" t="e">
        <f>G64/$N$12</f>
        <v>#DIV/0!</v>
      </c>
      <c r="O64" s="57" t="e">
        <f>G64/$O$12</f>
        <v>#DIV/0!</v>
      </c>
      <c r="P64" s="58" t="e">
        <f>IF(ABS(O64)&gt;100%,"O","X")</f>
        <v>#DIV/0!</v>
      </c>
      <c r="Q64" s="272"/>
      <c r="R64" s="59" t="e">
        <f>IF(P64="O","O",IF(Q64="O","O","X"))</f>
        <v>#DIV/0!</v>
      </c>
      <c r="S64" s="104"/>
      <c r="T64" s="225"/>
      <c r="U64" s="48"/>
      <c r="V64" s="49"/>
    </row>
    <row r="65" spans="1:22">
      <c r="B65" s="54"/>
      <c r="C65" s="54" t="s">
        <v>207</v>
      </c>
      <c r="D65" s="50"/>
      <c r="E65" s="52"/>
      <c r="F65" s="53" t="s">
        <v>207</v>
      </c>
      <c r="G65" s="271"/>
      <c r="H65" s="271"/>
      <c r="I65" s="271"/>
      <c r="J65" s="54">
        <f>G65+H65-I65</f>
        <v>0</v>
      </c>
      <c r="K65" s="271"/>
      <c r="L65" s="55">
        <f>J65-K65</f>
        <v>0</v>
      </c>
      <c r="M65" s="56" t="e">
        <f t="shared" si="0"/>
        <v>#DIV/0!</v>
      </c>
      <c r="N65" s="57" t="e">
        <f>G65/$N$12</f>
        <v>#DIV/0!</v>
      </c>
      <c r="O65" s="57" t="e">
        <f>G65/$O$12</f>
        <v>#DIV/0!</v>
      </c>
      <c r="P65" s="58" t="e">
        <f>IF(ABS(O65)&gt;100%,"O","X")</f>
        <v>#DIV/0!</v>
      </c>
      <c r="Q65" s="272"/>
      <c r="R65" s="59" t="e">
        <f>IF(P65="O","O",IF(Q65="O","O","X"))</f>
        <v>#DIV/0!</v>
      </c>
      <c r="S65" s="104"/>
      <c r="T65" s="225"/>
      <c r="U65" s="48"/>
      <c r="V65" s="49"/>
    </row>
    <row r="66" spans="1:22" s="9" customFormat="1">
      <c r="A66" s="5"/>
      <c r="B66" s="260"/>
      <c r="C66" s="260"/>
      <c r="D66" s="44"/>
      <c r="E66" s="45" t="s">
        <v>208</v>
      </c>
      <c r="F66" s="61"/>
      <c r="G66" s="260">
        <f>SUM(G67:G70)</f>
        <v>0</v>
      </c>
      <c r="H66" s="260"/>
      <c r="I66" s="260"/>
      <c r="J66" s="260">
        <f>SUM(J67:J70)</f>
        <v>0</v>
      </c>
      <c r="K66" s="260">
        <f>SUM(K67:K70)</f>
        <v>0</v>
      </c>
      <c r="L66" s="260">
        <f>SUM(L67:L70)</f>
        <v>0</v>
      </c>
      <c r="M66" s="261" t="e">
        <f t="shared" si="0"/>
        <v>#DIV/0!</v>
      </c>
      <c r="N66" s="236" t="e">
        <f t="shared" ref="N66" si="17">G66/$N$12</f>
        <v>#DIV/0!</v>
      </c>
      <c r="O66" s="236" t="e">
        <f t="shared" ref="O66" si="18">G66/$O$12</f>
        <v>#DIV/0!</v>
      </c>
      <c r="P66" s="237" t="e">
        <f t="shared" ref="P66" si="19">IF(ABS(O66)&gt;100%,"O","X")</f>
        <v>#DIV/0!</v>
      </c>
      <c r="Q66" s="240"/>
      <c r="R66" s="238" t="e">
        <f t="shared" ref="R66" si="20">IF(P66="O","O",IF(Q66="O","O","X"))</f>
        <v>#DIV/0!</v>
      </c>
      <c r="S66" s="262"/>
      <c r="T66" s="241"/>
      <c r="U66" s="242"/>
      <c r="V66" s="243"/>
    </row>
    <row r="67" spans="1:22">
      <c r="B67" s="54"/>
      <c r="C67" s="54" t="s">
        <v>209</v>
      </c>
      <c r="D67" s="50"/>
      <c r="E67" s="52"/>
      <c r="F67" s="53" t="s">
        <v>209</v>
      </c>
      <c r="G67" s="271"/>
      <c r="H67" s="271"/>
      <c r="I67" s="271"/>
      <c r="J67" s="54">
        <f>G67+H67-I67</f>
        <v>0</v>
      </c>
      <c r="K67" s="271"/>
      <c r="L67" s="55">
        <f>J67-K67</f>
        <v>0</v>
      </c>
      <c r="M67" s="56" t="e">
        <f t="shared" si="0"/>
        <v>#DIV/0!</v>
      </c>
      <c r="N67" s="57" t="e">
        <f>G67/$N$12</f>
        <v>#DIV/0!</v>
      </c>
      <c r="O67" s="57" t="e">
        <f>G67/$O$12</f>
        <v>#DIV/0!</v>
      </c>
      <c r="P67" s="58" t="e">
        <f>IF(ABS(O67)&gt;100%,"O","X")</f>
        <v>#DIV/0!</v>
      </c>
      <c r="Q67" s="272"/>
      <c r="R67" s="59" t="e">
        <f>IF(P67="O","O",IF(Q67="O","O","X"))</f>
        <v>#DIV/0!</v>
      </c>
      <c r="S67" s="104"/>
      <c r="T67" s="225"/>
      <c r="U67" s="48"/>
      <c r="V67" s="49"/>
    </row>
    <row r="68" spans="1:22">
      <c r="B68" s="54"/>
      <c r="C68" s="54" t="s">
        <v>210</v>
      </c>
      <c r="D68" s="50"/>
      <c r="E68" s="52"/>
      <c r="F68" s="53" t="s">
        <v>210</v>
      </c>
      <c r="G68" s="271"/>
      <c r="H68" s="271"/>
      <c r="I68" s="271"/>
      <c r="J68" s="54">
        <f>G68+H68-I68</f>
        <v>0</v>
      </c>
      <c r="K68" s="271"/>
      <c r="L68" s="55">
        <f>J68-K68</f>
        <v>0</v>
      </c>
      <c r="M68" s="56" t="e">
        <f t="shared" si="0"/>
        <v>#DIV/0!</v>
      </c>
      <c r="N68" s="57" t="e">
        <f>G68/$N$12</f>
        <v>#DIV/0!</v>
      </c>
      <c r="O68" s="57" t="e">
        <f>G68/$O$12</f>
        <v>#DIV/0!</v>
      </c>
      <c r="P68" s="58" t="e">
        <f>IF(ABS(O68)&gt;100%,"O","X")</f>
        <v>#DIV/0!</v>
      </c>
      <c r="Q68" s="272"/>
      <c r="R68" s="59" t="e">
        <f>IF(P68="O","O",IF(Q68="O","O","X"))</f>
        <v>#DIV/0!</v>
      </c>
      <c r="S68" s="104"/>
      <c r="T68" s="225"/>
      <c r="U68" s="48"/>
      <c r="V68" s="49"/>
    </row>
    <row r="69" spans="1:22">
      <c r="B69" s="54"/>
      <c r="C69" s="54" t="s">
        <v>142</v>
      </c>
      <c r="D69" s="50"/>
      <c r="E69" s="52"/>
      <c r="F69" s="53" t="s">
        <v>142</v>
      </c>
      <c r="G69" s="271"/>
      <c r="H69" s="271"/>
      <c r="I69" s="271"/>
      <c r="J69" s="54">
        <f>G69+H69-I69</f>
        <v>0</v>
      </c>
      <c r="K69" s="271"/>
      <c r="L69" s="55">
        <f>J69-K69</f>
        <v>0</v>
      </c>
      <c r="M69" s="56" t="e">
        <f t="shared" si="0"/>
        <v>#DIV/0!</v>
      </c>
      <c r="N69" s="57" t="e">
        <f>G69/$N$12</f>
        <v>#DIV/0!</v>
      </c>
      <c r="O69" s="57" t="e">
        <f>G69/$O$12</f>
        <v>#DIV/0!</v>
      </c>
      <c r="P69" s="58" t="e">
        <f>IF(ABS(O69)&gt;100%,"O","X")</f>
        <v>#DIV/0!</v>
      </c>
      <c r="Q69" s="272"/>
      <c r="R69" s="59" t="e">
        <f>IF(P69="O","O",IF(Q69="O","O","X"))</f>
        <v>#DIV/0!</v>
      </c>
      <c r="S69" s="104"/>
      <c r="T69" s="225"/>
      <c r="U69" s="48"/>
      <c r="V69" s="49"/>
    </row>
    <row r="70" spans="1:22">
      <c r="B70" s="54"/>
      <c r="C70" s="54" t="s">
        <v>211</v>
      </c>
      <c r="D70" s="50"/>
      <c r="E70" s="52"/>
      <c r="F70" s="53" t="s">
        <v>211</v>
      </c>
      <c r="G70" s="271"/>
      <c r="H70" s="271"/>
      <c r="I70" s="271"/>
      <c r="J70" s="54">
        <f>G70+H70-I70</f>
        <v>0</v>
      </c>
      <c r="K70" s="271"/>
      <c r="L70" s="55">
        <f>J70-K70</f>
        <v>0</v>
      </c>
      <c r="M70" s="56" t="e">
        <f t="shared" si="0"/>
        <v>#DIV/0!</v>
      </c>
      <c r="N70" s="57" t="e">
        <f>G70/$N$12</f>
        <v>#DIV/0!</v>
      </c>
      <c r="O70" s="57" t="e">
        <f>G70/$O$12</f>
        <v>#DIV/0!</v>
      </c>
      <c r="P70" s="58" t="e">
        <f>IF(ABS(O70)&gt;100%,"O","X")</f>
        <v>#DIV/0!</v>
      </c>
      <c r="Q70" s="272"/>
      <c r="R70" s="59" t="e">
        <f>IF(P70="O","O",IF(Q70="O","O","X"))</f>
        <v>#DIV/0!</v>
      </c>
      <c r="S70" s="104"/>
      <c r="T70" s="225"/>
      <c r="U70" s="48"/>
      <c r="V70" s="49"/>
    </row>
    <row r="71" spans="1:22" s="9" customFormat="1">
      <c r="A71" s="5"/>
      <c r="B71" s="260"/>
      <c r="C71" s="260"/>
      <c r="D71" s="44"/>
      <c r="E71" s="45" t="s">
        <v>212</v>
      </c>
      <c r="F71" s="61"/>
      <c r="G71" s="260">
        <f>SUM(G72:G75)</f>
        <v>0</v>
      </c>
      <c r="H71" s="260"/>
      <c r="I71" s="260"/>
      <c r="J71" s="260">
        <f>SUM(J72:J75)</f>
        <v>0</v>
      </c>
      <c r="K71" s="260">
        <f>SUM(K72:K75)</f>
        <v>0</v>
      </c>
      <c r="L71" s="260">
        <f>SUM(L72:L75)</f>
        <v>0</v>
      </c>
      <c r="M71" s="261" t="e">
        <f t="shared" si="0"/>
        <v>#DIV/0!</v>
      </c>
      <c r="N71" s="236" t="e">
        <f t="shared" ref="N71" si="21">G71/$N$12</f>
        <v>#DIV/0!</v>
      </c>
      <c r="O71" s="236" t="e">
        <f t="shared" ref="O71" si="22">G71/$O$12</f>
        <v>#DIV/0!</v>
      </c>
      <c r="P71" s="237" t="e">
        <f t="shared" ref="P71" si="23">IF(ABS(O71)&gt;100%,"O","X")</f>
        <v>#DIV/0!</v>
      </c>
      <c r="Q71" s="240"/>
      <c r="R71" s="238" t="e">
        <f t="shared" ref="R71" si="24">IF(P71="O","O",IF(Q71="O","O","X"))</f>
        <v>#DIV/0!</v>
      </c>
      <c r="S71" s="262"/>
      <c r="T71" s="241"/>
      <c r="U71" s="242"/>
      <c r="V71" s="243"/>
    </row>
    <row r="72" spans="1:22">
      <c r="B72" s="54"/>
      <c r="C72" s="54" t="s">
        <v>213</v>
      </c>
      <c r="D72" s="50"/>
      <c r="E72" s="52"/>
      <c r="F72" s="53" t="s">
        <v>213</v>
      </c>
      <c r="G72" s="271"/>
      <c r="H72" s="271"/>
      <c r="I72" s="271"/>
      <c r="J72" s="54">
        <f>G72+H72-I72</f>
        <v>0</v>
      </c>
      <c r="K72" s="271"/>
      <c r="L72" s="55">
        <f>J72-K72</f>
        <v>0</v>
      </c>
      <c r="M72" s="56" t="e">
        <f t="shared" si="0"/>
        <v>#DIV/0!</v>
      </c>
      <c r="N72" s="57" t="e">
        <f>G72/$N$12</f>
        <v>#DIV/0!</v>
      </c>
      <c r="O72" s="57" t="e">
        <f>G72/$O$12</f>
        <v>#DIV/0!</v>
      </c>
      <c r="P72" s="58" t="e">
        <f>IF(ABS(O72)&gt;100%,"O","X")</f>
        <v>#DIV/0!</v>
      </c>
      <c r="Q72" s="272"/>
      <c r="R72" s="59" t="e">
        <f>IF(P72="O","O",IF(Q72="O","O","X"))</f>
        <v>#DIV/0!</v>
      </c>
      <c r="S72" s="104"/>
      <c r="T72" s="225"/>
      <c r="U72" s="48"/>
      <c r="V72" s="49"/>
    </row>
    <row r="73" spans="1:22">
      <c r="B73" s="54"/>
      <c r="C73" s="54" t="s">
        <v>214</v>
      </c>
      <c r="D73" s="50"/>
      <c r="E73" s="52"/>
      <c r="F73" s="53" t="s">
        <v>214</v>
      </c>
      <c r="G73" s="271"/>
      <c r="H73" s="271"/>
      <c r="I73" s="271"/>
      <c r="J73" s="54">
        <f>G73+H73-I73</f>
        <v>0</v>
      </c>
      <c r="K73" s="271"/>
      <c r="L73" s="55">
        <f>J73-K73</f>
        <v>0</v>
      </c>
      <c r="M73" s="56" t="e">
        <f t="shared" si="0"/>
        <v>#DIV/0!</v>
      </c>
      <c r="N73" s="57" t="e">
        <f>G73/$N$12</f>
        <v>#DIV/0!</v>
      </c>
      <c r="O73" s="57" t="e">
        <f>G73/$O$12</f>
        <v>#DIV/0!</v>
      </c>
      <c r="P73" s="58" t="e">
        <f>IF(ABS(O73)&gt;100%,"O","X")</f>
        <v>#DIV/0!</v>
      </c>
      <c r="Q73" s="272"/>
      <c r="R73" s="59" t="e">
        <f>IF(P73="O","O",IF(Q73="O","O","X"))</f>
        <v>#DIV/0!</v>
      </c>
      <c r="S73" s="104"/>
      <c r="T73" s="225"/>
      <c r="U73" s="48"/>
      <c r="V73" s="49"/>
    </row>
    <row r="74" spans="1:22">
      <c r="B74" s="54"/>
      <c r="C74" s="54" t="s">
        <v>49</v>
      </c>
      <c r="D74" s="50"/>
      <c r="E74" s="52"/>
      <c r="F74" s="53" t="s">
        <v>49</v>
      </c>
      <c r="G74" s="271"/>
      <c r="H74" s="271"/>
      <c r="I74" s="271"/>
      <c r="J74" s="54">
        <f>G74+H74-I74</f>
        <v>0</v>
      </c>
      <c r="K74" s="271"/>
      <c r="L74" s="55">
        <f>J74-K74</f>
        <v>0</v>
      </c>
      <c r="M74" s="56" t="e">
        <f t="shared" si="0"/>
        <v>#DIV/0!</v>
      </c>
      <c r="N74" s="57" t="e">
        <f>G74/$N$12</f>
        <v>#DIV/0!</v>
      </c>
      <c r="O74" s="57" t="e">
        <f>G74/$O$12</f>
        <v>#DIV/0!</v>
      </c>
      <c r="P74" s="58" t="e">
        <f>IF(ABS(O74)&gt;100%,"O","X")</f>
        <v>#DIV/0!</v>
      </c>
      <c r="Q74" s="272"/>
      <c r="R74" s="59" t="e">
        <f>IF(P74="O","O",IF(Q74="O","O","X"))</f>
        <v>#DIV/0!</v>
      </c>
      <c r="S74" s="104"/>
      <c r="T74" s="225"/>
      <c r="U74" s="48"/>
      <c r="V74" s="49"/>
    </row>
    <row r="75" spans="1:22">
      <c r="B75" s="54"/>
      <c r="C75" s="54" t="s">
        <v>169</v>
      </c>
      <c r="D75" s="50"/>
      <c r="E75" s="52"/>
      <c r="F75" s="53" t="s">
        <v>169</v>
      </c>
      <c r="G75" s="271"/>
      <c r="H75" s="271"/>
      <c r="I75" s="271"/>
      <c r="J75" s="54">
        <f>G75+H75-I75</f>
        <v>0</v>
      </c>
      <c r="K75" s="271"/>
      <c r="L75" s="55">
        <f>J75-K75</f>
        <v>0</v>
      </c>
      <c r="M75" s="56" t="e">
        <f t="shared" si="0"/>
        <v>#DIV/0!</v>
      </c>
      <c r="N75" s="57" t="e">
        <f>G75/$N$12</f>
        <v>#DIV/0!</v>
      </c>
      <c r="O75" s="57" t="e">
        <f>G75/$O$12</f>
        <v>#DIV/0!</v>
      </c>
      <c r="P75" s="58" t="e">
        <f>IF(ABS(O75)&gt;100%,"O","X")</f>
        <v>#DIV/0!</v>
      </c>
      <c r="Q75" s="272"/>
      <c r="R75" s="59" t="e">
        <f>IF(P75="O","O",IF(Q75="O","O","X"))</f>
        <v>#DIV/0!</v>
      </c>
      <c r="S75" s="104"/>
      <c r="T75" s="225"/>
      <c r="U75" s="48"/>
      <c r="V75" s="49"/>
    </row>
    <row r="76" spans="1:22" s="9" customFormat="1">
      <c r="A76" s="5"/>
      <c r="B76" s="258"/>
      <c r="C76" s="258"/>
      <c r="D76" s="44" t="s">
        <v>96</v>
      </c>
      <c r="E76" s="45"/>
      <c r="F76" s="61"/>
      <c r="G76" s="258">
        <f>G14+G41</f>
        <v>0</v>
      </c>
      <c r="H76" s="258"/>
      <c r="I76" s="258"/>
      <c r="J76" s="258">
        <f>J14+J41</f>
        <v>0</v>
      </c>
      <c r="K76" s="258">
        <f>K14+K41</f>
        <v>0</v>
      </c>
      <c r="L76" s="258">
        <f>L14+L41</f>
        <v>0</v>
      </c>
      <c r="M76" s="259" t="e">
        <f t="shared" si="0"/>
        <v>#DIV/0!</v>
      </c>
      <c r="N76" s="236" t="e">
        <f t="shared" ref="N76:N112" si="25">G76/$N$12</f>
        <v>#DIV/0!</v>
      </c>
      <c r="O76" s="236" t="e">
        <f t="shared" ref="O76:O112" si="26">G76/$O$12</f>
        <v>#DIV/0!</v>
      </c>
      <c r="P76" s="237" t="e">
        <f>IF(ABS(O76)&gt;100%,"O","X")</f>
        <v>#DIV/0!</v>
      </c>
      <c r="Q76" s="240"/>
      <c r="R76" s="238" t="e">
        <f>IF(P76="O","O",IF(Q76="O","O","X"))</f>
        <v>#DIV/0!</v>
      </c>
      <c r="S76" s="264"/>
      <c r="T76" s="252"/>
      <c r="U76" s="93"/>
      <c r="V76" s="94"/>
    </row>
    <row r="77" spans="1:22" s="9" customFormat="1">
      <c r="A77" s="5"/>
      <c r="B77" s="258"/>
      <c r="C77" s="258"/>
      <c r="D77" s="44" t="s">
        <v>143</v>
      </c>
      <c r="E77" s="45"/>
      <c r="F77" s="61"/>
      <c r="G77" s="258">
        <f>SUM(G78:G87)</f>
        <v>0</v>
      </c>
      <c r="H77" s="258"/>
      <c r="I77" s="258"/>
      <c r="J77" s="258">
        <f>SUM(J78:J87)</f>
        <v>0</v>
      </c>
      <c r="K77" s="258">
        <f>SUM(K78:K87)</f>
        <v>0</v>
      </c>
      <c r="L77" s="258">
        <f>SUM(L78:L87)</f>
        <v>0</v>
      </c>
      <c r="M77" s="259" t="e">
        <f t="shared" si="0"/>
        <v>#DIV/0!</v>
      </c>
      <c r="N77" s="236" t="e">
        <f t="shared" si="25"/>
        <v>#DIV/0!</v>
      </c>
      <c r="O77" s="236" t="e">
        <f t="shared" si="26"/>
        <v>#DIV/0!</v>
      </c>
      <c r="P77" s="237" t="e">
        <f t="shared" ref="P77:P93" si="27">IF(ABS(O77)&gt;100%,"O","X")</f>
        <v>#DIV/0!</v>
      </c>
      <c r="Q77" s="240"/>
      <c r="R77" s="238" t="e">
        <f t="shared" ref="R77:R93" si="28">IF(P77="O","O",IF(Q77="O","O","X"))</f>
        <v>#DIV/0!</v>
      </c>
      <c r="S77" s="263"/>
      <c r="T77" s="99"/>
      <c r="U77" s="93"/>
      <c r="V77" s="94"/>
    </row>
    <row r="78" spans="1:22">
      <c r="B78" s="55"/>
      <c r="C78" s="55" t="s">
        <v>104</v>
      </c>
      <c r="D78" s="50"/>
      <c r="E78" s="52"/>
      <c r="F78" s="53" t="s">
        <v>104</v>
      </c>
      <c r="G78" s="273"/>
      <c r="H78" s="273"/>
      <c r="I78" s="273"/>
      <c r="J78" s="54">
        <f>G78+I78-H78</f>
        <v>0</v>
      </c>
      <c r="K78" s="273"/>
      <c r="L78" s="55">
        <f t="shared" ref="L78:L87" si="29">J78-K78</f>
        <v>0</v>
      </c>
      <c r="M78" s="56" t="e">
        <f t="shared" si="0"/>
        <v>#DIV/0!</v>
      </c>
      <c r="N78" s="57" t="e">
        <f t="shared" si="25"/>
        <v>#DIV/0!</v>
      </c>
      <c r="O78" s="57" t="e">
        <f t="shared" si="26"/>
        <v>#DIV/0!</v>
      </c>
      <c r="P78" s="58" t="e">
        <f t="shared" si="27"/>
        <v>#DIV/0!</v>
      </c>
      <c r="Q78" s="272"/>
      <c r="R78" s="59" t="e">
        <f t="shared" si="28"/>
        <v>#DIV/0!</v>
      </c>
      <c r="S78" s="85"/>
      <c r="T78" s="60"/>
      <c r="U78" s="48"/>
      <c r="V78" s="49"/>
    </row>
    <row r="79" spans="1:22">
      <c r="B79" s="55"/>
      <c r="C79" s="55" t="s">
        <v>105</v>
      </c>
      <c r="D79" s="50"/>
      <c r="E79" s="52"/>
      <c r="F79" s="53" t="s">
        <v>105</v>
      </c>
      <c r="G79" s="273"/>
      <c r="H79" s="273"/>
      <c r="I79" s="273"/>
      <c r="J79" s="54">
        <f>G79+I79-H79</f>
        <v>0</v>
      </c>
      <c r="K79" s="273"/>
      <c r="L79" s="55">
        <f t="shared" si="29"/>
        <v>0</v>
      </c>
      <c r="M79" s="56" t="e">
        <f t="shared" ref="M79:M112" si="30">L79/K79</f>
        <v>#DIV/0!</v>
      </c>
      <c r="N79" s="57" t="e">
        <f t="shared" si="25"/>
        <v>#DIV/0!</v>
      </c>
      <c r="O79" s="57" t="e">
        <f t="shared" si="26"/>
        <v>#DIV/0!</v>
      </c>
      <c r="P79" s="58" t="e">
        <f t="shared" si="27"/>
        <v>#DIV/0!</v>
      </c>
      <c r="Q79" s="272"/>
      <c r="R79" s="59" t="e">
        <f t="shared" si="28"/>
        <v>#DIV/0!</v>
      </c>
      <c r="S79" s="85"/>
      <c r="T79" s="60"/>
      <c r="U79" s="48"/>
      <c r="V79" s="49"/>
    </row>
    <row r="80" spans="1:22">
      <c r="B80" s="55"/>
      <c r="C80" s="55" t="s">
        <v>107</v>
      </c>
      <c r="D80" s="50"/>
      <c r="E80" s="52"/>
      <c r="F80" s="53" t="s">
        <v>107</v>
      </c>
      <c r="G80" s="273"/>
      <c r="H80" s="273"/>
      <c r="I80" s="273"/>
      <c r="J80" s="54">
        <f>G80+I80-H80</f>
        <v>0</v>
      </c>
      <c r="K80" s="273"/>
      <c r="L80" s="55">
        <f t="shared" si="29"/>
        <v>0</v>
      </c>
      <c r="M80" s="56" t="e">
        <f t="shared" si="30"/>
        <v>#DIV/0!</v>
      </c>
      <c r="N80" s="57" t="e">
        <f t="shared" si="25"/>
        <v>#DIV/0!</v>
      </c>
      <c r="O80" s="57" t="e">
        <f t="shared" si="26"/>
        <v>#DIV/0!</v>
      </c>
      <c r="P80" s="58" t="e">
        <f t="shared" si="27"/>
        <v>#DIV/0!</v>
      </c>
      <c r="Q80" s="272"/>
      <c r="R80" s="59" t="e">
        <f t="shared" si="28"/>
        <v>#DIV/0!</v>
      </c>
      <c r="S80" s="85"/>
      <c r="T80" s="60"/>
      <c r="U80" s="48"/>
      <c r="V80" s="49"/>
    </row>
    <row r="81" spans="1:22">
      <c r="B81" s="55"/>
      <c r="C81" s="55" t="s">
        <v>144</v>
      </c>
      <c r="D81" s="50"/>
      <c r="E81" s="52"/>
      <c r="F81" s="53" t="s">
        <v>144</v>
      </c>
      <c r="G81" s="273"/>
      <c r="H81" s="273"/>
      <c r="I81" s="273"/>
      <c r="J81" s="54">
        <f>G81+I81-H81</f>
        <v>0</v>
      </c>
      <c r="K81" s="273"/>
      <c r="L81" s="55">
        <f t="shared" si="29"/>
        <v>0</v>
      </c>
      <c r="M81" s="56" t="e">
        <f t="shared" si="30"/>
        <v>#DIV/0!</v>
      </c>
      <c r="N81" s="57" t="e">
        <f t="shared" si="25"/>
        <v>#DIV/0!</v>
      </c>
      <c r="O81" s="57" t="e">
        <f t="shared" si="26"/>
        <v>#DIV/0!</v>
      </c>
      <c r="P81" s="58" t="e">
        <f t="shared" si="27"/>
        <v>#DIV/0!</v>
      </c>
      <c r="Q81" s="272"/>
      <c r="R81" s="59" t="e">
        <f t="shared" si="28"/>
        <v>#DIV/0!</v>
      </c>
      <c r="S81" s="85"/>
      <c r="T81" s="60"/>
      <c r="U81" s="48"/>
      <c r="V81" s="49"/>
    </row>
    <row r="82" spans="1:22">
      <c r="B82" s="55"/>
      <c r="C82" s="55" t="s">
        <v>215</v>
      </c>
      <c r="D82" s="50"/>
      <c r="E82" s="52"/>
      <c r="F82" s="53" t="s">
        <v>215</v>
      </c>
      <c r="G82" s="273"/>
      <c r="H82" s="273"/>
      <c r="I82" s="273"/>
      <c r="J82" s="54">
        <f>G82+I82-H82</f>
        <v>0</v>
      </c>
      <c r="K82" s="273"/>
      <c r="L82" s="55">
        <f t="shared" si="29"/>
        <v>0</v>
      </c>
      <c r="M82" s="56" t="e">
        <f t="shared" si="30"/>
        <v>#DIV/0!</v>
      </c>
      <c r="N82" s="57" t="e">
        <f t="shared" si="25"/>
        <v>#DIV/0!</v>
      </c>
      <c r="O82" s="57" t="e">
        <f t="shared" si="26"/>
        <v>#DIV/0!</v>
      </c>
      <c r="P82" s="58" t="e">
        <f t="shared" si="27"/>
        <v>#DIV/0!</v>
      </c>
      <c r="Q82" s="272"/>
      <c r="R82" s="59" t="e">
        <f t="shared" si="28"/>
        <v>#DIV/0!</v>
      </c>
      <c r="S82" s="85"/>
      <c r="T82" s="60"/>
      <c r="U82" s="48"/>
      <c r="V82" s="49"/>
    </row>
    <row r="83" spans="1:22">
      <c r="B83" s="55"/>
      <c r="C83" s="55" t="s">
        <v>17</v>
      </c>
      <c r="D83" s="50"/>
      <c r="E83" s="52"/>
      <c r="F83" s="53" t="s">
        <v>17</v>
      </c>
      <c r="G83" s="273"/>
      <c r="H83" s="273"/>
      <c r="I83" s="273"/>
      <c r="J83" s="54">
        <f>G83+I83-H83</f>
        <v>0</v>
      </c>
      <c r="K83" s="273"/>
      <c r="L83" s="55">
        <f t="shared" si="29"/>
        <v>0</v>
      </c>
      <c r="M83" s="56" t="e">
        <f t="shared" si="30"/>
        <v>#DIV/0!</v>
      </c>
      <c r="N83" s="57" t="e">
        <f t="shared" si="25"/>
        <v>#DIV/0!</v>
      </c>
      <c r="O83" s="57" t="e">
        <f t="shared" si="26"/>
        <v>#DIV/0!</v>
      </c>
      <c r="P83" s="58" t="e">
        <f t="shared" si="27"/>
        <v>#DIV/0!</v>
      </c>
      <c r="Q83" s="272"/>
      <c r="R83" s="59" t="e">
        <f t="shared" si="28"/>
        <v>#DIV/0!</v>
      </c>
      <c r="S83" s="85"/>
      <c r="T83" s="60"/>
      <c r="U83" s="48"/>
      <c r="V83" s="49"/>
    </row>
    <row r="84" spans="1:22">
      <c r="B84" s="55"/>
      <c r="C84" s="55" t="s">
        <v>48</v>
      </c>
      <c r="D84" s="50"/>
      <c r="E84" s="52"/>
      <c r="F84" s="53" t="s">
        <v>48</v>
      </c>
      <c r="G84" s="273"/>
      <c r="H84" s="273"/>
      <c r="I84" s="273"/>
      <c r="J84" s="54">
        <f>G84+I84-H84</f>
        <v>0</v>
      </c>
      <c r="K84" s="273"/>
      <c r="L84" s="55">
        <f t="shared" si="29"/>
        <v>0</v>
      </c>
      <c r="M84" s="56" t="e">
        <f t="shared" si="30"/>
        <v>#DIV/0!</v>
      </c>
      <c r="N84" s="57" t="e">
        <f t="shared" si="25"/>
        <v>#DIV/0!</v>
      </c>
      <c r="O84" s="57" t="e">
        <f t="shared" si="26"/>
        <v>#DIV/0!</v>
      </c>
      <c r="P84" s="58" t="e">
        <f t="shared" si="27"/>
        <v>#DIV/0!</v>
      </c>
      <c r="Q84" s="272"/>
      <c r="R84" s="59" t="e">
        <f t="shared" si="28"/>
        <v>#DIV/0!</v>
      </c>
      <c r="S84" s="85"/>
      <c r="T84" s="60"/>
      <c r="U84" s="48"/>
      <c r="V84" s="49"/>
    </row>
    <row r="85" spans="1:22">
      <c r="B85" s="55"/>
      <c r="C85" s="55" t="s">
        <v>18</v>
      </c>
      <c r="D85" s="50"/>
      <c r="E85" s="52"/>
      <c r="F85" s="53" t="s">
        <v>18</v>
      </c>
      <c r="G85" s="273"/>
      <c r="H85" s="273"/>
      <c r="I85" s="273"/>
      <c r="J85" s="54">
        <f>G85+I85-H85</f>
        <v>0</v>
      </c>
      <c r="K85" s="273"/>
      <c r="L85" s="55">
        <f t="shared" si="29"/>
        <v>0</v>
      </c>
      <c r="M85" s="56" t="e">
        <f t="shared" si="30"/>
        <v>#DIV/0!</v>
      </c>
      <c r="N85" s="57" t="e">
        <f t="shared" si="25"/>
        <v>#DIV/0!</v>
      </c>
      <c r="O85" s="57" t="e">
        <f t="shared" si="26"/>
        <v>#DIV/0!</v>
      </c>
      <c r="P85" s="58" t="e">
        <f t="shared" si="27"/>
        <v>#DIV/0!</v>
      </c>
      <c r="Q85" s="272"/>
      <c r="R85" s="59" t="e">
        <f t="shared" si="28"/>
        <v>#DIV/0!</v>
      </c>
      <c r="S85" s="85"/>
      <c r="T85" s="60"/>
      <c r="U85" s="48"/>
      <c r="V85" s="49"/>
    </row>
    <row r="86" spans="1:22">
      <c r="B86" s="55"/>
      <c r="C86" s="55" t="s">
        <v>216</v>
      </c>
      <c r="D86" s="50"/>
      <c r="E86" s="52"/>
      <c r="F86" s="53" t="s">
        <v>216</v>
      </c>
      <c r="G86" s="273"/>
      <c r="H86" s="273"/>
      <c r="I86" s="273"/>
      <c r="J86" s="54">
        <f>G86+I86-H86</f>
        <v>0</v>
      </c>
      <c r="K86" s="273"/>
      <c r="L86" s="55">
        <f t="shared" si="29"/>
        <v>0</v>
      </c>
      <c r="M86" s="56" t="e">
        <f t="shared" si="30"/>
        <v>#DIV/0!</v>
      </c>
      <c r="N86" s="57" t="e">
        <f t="shared" si="25"/>
        <v>#DIV/0!</v>
      </c>
      <c r="O86" s="57" t="e">
        <f t="shared" si="26"/>
        <v>#DIV/0!</v>
      </c>
      <c r="P86" s="58" t="e">
        <f t="shared" si="27"/>
        <v>#DIV/0!</v>
      </c>
      <c r="Q86" s="272"/>
      <c r="R86" s="59" t="e">
        <f t="shared" si="28"/>
        <v>#DIV/0!</v>
      </c>
      <c r="S86" s="85"/>
      <c r="T86" s="60"/>
      <c r="U86" s="48"/>
      <c r="V86" s="49"/>
    </row>
    <row r="87" spans="1:22">
      <c r="B87" s="55"/>
      <c r="C87" s="55" t="s">
        <v>217</v>
      </c>
      <c r="D87" s="50"/>
      <c r="E87" s="52"/>
      <c r="F87" s="53" t="s">
        <v>217</v>
      </c>
      <c r="G87" s="273"/>
      <c r="H87" s="273"/>
      <c r="I87" s="273"/>
      <c r="J87" s="54">
        <f>G87+I87-H87</f>
        <v>0</v>
      </c>
      <c r="K87" s="273"/>
      <c r="L87" s="55">
        <f t="shared" si="29"/>
        <v>0</v>
      </c>
      <c r="M87" s="56" t="e">
        <f t="shared" si="30"/>
        <v>#DIV/0!</v>
      </c>
      <c r="N87" s="57" t="e">
        <f t="shared" si="25"/>
        <v>#DIV/0!</v>
      </c>
      <c r="O87" s="57" t="e">
        <f t="shared" si="26"/>
        <v>#DIV/0!</v>
      </c>
      <c r="P87" s="58" t="e">
        <f t="shared" si="27"/>
        <v>#DIV/0!</v>
      </c>
      <c r="Q87" s="272"/>
      <c r="R87" s="59" t="e">
        <f t="shared" si="28"/>
        <v>#DIV/0!</v>
      </c>
      <c r="S87" s="85"/>
      <c r="T87" s="60"/>
      <c r="U87" s="48"/>
      <c r="V87" s="49"/>
    </row>
    <row r="88" spans="1:22" s="9" customFormat="1">
      <c r="A88" s="5"/>
      <c r="B88" s="258"/>
      <c r="C88" s="258"/>
      <c r="D88" s="44" t="s">
        <v>145</v>
      </c>
      <c r="E88" s="45"/>
      <c r="F88" s="61"/>
      <c r="G88" s="258">
        <f>SUM(G89:G93)</f>
        <v>0</v>
      </c>
      <c r="H88" s="258"/>
      <c r="I88" s="258"/>
      <c r="J88" s="258">
        <f>SUM(J89:J93)</f>
        <v>0</v>
      </c>
      <c r="K88" s="258">
        <f>SUM(K89:K93)</f>
        <v>0</v>
      </c>
      <c r="L88" s="258">
        <f>SUM(L89:L93)</f>
        <v>0</v>
      </c>
      <c r="M88" s="259" t="e">
        <f t="shared" si="30"/>
        <v>#DIV/0!</v>
      </c>
      <c r="N88" s="236" t="e">
        <f t="shared" si="25"/>
        <v>#DIV/0!</v>
      </c>
      <c r="O88" s="236" t="e">
        <f t="shared" si="26"/>
        <v>#DIV/0!</v>
      </c>
      <c r="P88" s="237" t="e">
        <f t="shared" si="27"/>
        <v>#DIV/0!</v>
      </c>
      <c r="Q88" s="240"/>
      <c r="R88" s="238" t="e">
        <f t="shared" si="28"/>
        <v>#DIV/0!</v>
      </c>
      <c r="S88" s="263"/>
      <c r="T88" s="99"/>
      <c r="U88" s="93"/>
      <c r="V88" s="94"/>
    </row>
    <row r="89" spans="1:22">
      <c r="B89" s="55"/>
      <c r="C89" s="55" t="s">
        <v>146</v>
      </c>
      <c r="D89" s="50"/>
      <c r="E89" s="52"/>
      <c r="F89" s="53" t="s">
        <v>146</v>
      </c>
      <c r="G89" s="273"/>
      <c r="H89" s="273"/>
      <c r="I89" s="273"/>
      <c r="J89" s="54">
        <f>G89+I89-H89</f>
        <v>0</v>
      </c>
      <c r="K89" s="273"/>
      <c r="L89" s="55">
        <f t="shared" ref="L89:L93" si="31">J89-K89</f>
        <v>0</v>
      </c>
      <c r="M89" s="56" t="e">
        <f t="shared" si="30"/>
        <v>#DIV/0!</v>
      </c>
      <c r="N89" s="57" t="e">
        <f t="shared" si="25"/>
        <v>#DIV/0!</v>
      </c>
      <c r="O89" s="57" t="e">
        <f t="shared" si="26"/>
        <v>#DIV/0!</v>
      </c>
      <c r="P89" s="58" t="e">
        <f t="shared" si="27"/>
        <v>#DIV/0!</v>
      </c>
      <c r="Q89" s="272"/>
      <c r="R89" s="59" t="e">
        <f t="shared" si="28"/>
        <v>#DIV/0!</v>
      </c>
      <c r="S89" s="85"/>
      <c r="T89" s="60"/>
      <c r="U89" s="48"/>
      <c r="V89" s="49"/>
    </row>
    <row r="90" spans="1:22">
      <c r="B90" s="55"/>
      <c r="C90" s="55" t="s">
        <v>218</v>
      </c>
      <c r="D90" s="50"/>
      <c r="E90" s="52"/>
      <c r="F90" s="53" t="s">
        <v>218</v>
      </c>
      <c r="G90" s="273"/>
      <c r="H90" s="273"/>
      <c r="I90" s="273"/>
      <c r="J90" s="54">
        <f>G90+I90-H90</f>
        <v>0</v>
      </c>
      <c r="K90" s="273"/>
      <c r="L90" s="55">
        <f t="shared" si="31"/>
        <v>0</v>
      </c>
      <c r="M90" s="56" t="e">
        <f t="shared" si="30"/>
        <v>#DIV/0!</v>
      </c>
      <c r="N90" s="57" t="e">
        <f t="shared" si="25"/>
        <v>#DIV/0!</v>
      </c>
      <c r="O90" s="57" t="e">
        <f t="shared" si="26"/>
        <v>#DIV/0!</v>
      </c>
      <c r="P90" s="58" t="e">
        <f t="shared" si="27"/>
        <v>#DIV/0!</v>
      </c>
      <c r="Q90" s="272"/>
      <c r="R90" s="59" t="e">
        <f t="shared" si="28"/>
        <v>#DIV/0!</v>
      </c>
      <c r="S90" s="85"/>
      <c r="T90" s="60"/>
      <c r="U90" s="48"/>
      <c r="V90" s="49"/>
    </row>
    <row r="91" spans="1:22">
      <c r="B91" s="55"/>
      <c r="C91" s="55" t="s">
        <v>106</v>
      </c>
      <c r="D91" s="50"/>
      <c r="E91" s="52"/>
      <c r="F91" s="53" t="s">
        <v>106</v>
      </c>
      <c r="G91" s="273"/>
      <c r="H91" s="273"/>
      <c r="I91" s="273"/>
      <c r="J91" s="54">
        <f>G91+I91-H91</f>
        <v>0</v>
      </c>
      <c r="K91" s="273"/>
      <c r="L91" s="55">
        <f t="shared" si="31"/>
        <v>0</v>
      </c>
      <c r="M91" s="56" t="e">
        <f t="shared" si="30"/>
        <v>#DIV/0!</v>
      </c>
      <c r="N91" s="57" t="e">
        <f t="shared" si="25"/>
        <v>#DIV/0!</v>
      </c>
      <c r="O91" s="57" t="e">
        <f t="shared" si="26"/>
        <v>#DIV/0!</v>
      </c>
      <c r="P91" s="58" t="e">
        <f t="shared" si="27"/>
        <v>#DIV/0!</v>
      </c>
      <c r="Q91" s="272"/>
      <c r="R91" s="59" t="e">
        <f t="shared" si="28"/>
        <v>#DIV/0!</v>
      </c>
      <c r="S91" s="85"/>
      <c r="T91" s="60"/>
      <c r="U91" s="48"/>
      <c r="V91" s="49"/>
    </row>
    <row r="92" spans="1:22">
      <c r="B92" s="55"/>
      <c r="C92" s="55" t="s">
        <v>147</v>
      </c>
      <c r="D92" s="50"/>
      <c r="E92" s="52"/>
      <c r="F92" s="53" t="s">
        <v>147</v>
      </c>
      <c r="G92" s="273"/>
      <c r="H92" s="273"/>
      <c r="I92" s="273"/>
      <c r="J92" s="54">
        <f>G92+I92-H92</f>
        <v>0</v>
      </c>
      <c r="K92" s="273"/>
      <c r="L92" s="55">
        <f t="shared" si="31"/>
        <v>0</v>
      </c>
      <c r="M92" s="56" t="e">
        <f t="shared" si="30"/>
        <v>#DIV/0!</v>
      </c>
      <c r="N92" s="57" t="e">
        <f t="shared" si="25"/>
        <v>#DIV/0!</v>
      </c>
      <c r="O92" s="57" t="e">
        <f t="shared" si="26"/>
        <v>#DIV/0!</v>
      </c>
      <c r="P92" s="58" t="e">
        <f t="shared" si="27"/>
        <v>#DIV/0!</v>
      </c>
      <c r="Q92" s="272"/>
      <c r="R92" s="59" t="e">
        <f t="shared" si="28"/>
        <v>#DIV/0!</v>
      </c>
      <c r="S92" s="85"/>
      <c r="T92" s="60"/>
      <c r="U92" s="48"/>
      <c r="V92" s="49"/>
    </row>
    <row r="93" spans="1:22">
      <c r="B93" s="55"/>
      <c r="C93" s="55" t="s">
        <v>219</v>
      </c>
      <c r="D93" s="50"/>
      <c r="E93" s="52"/>
      <c r="F93" s="53" t="s">
        <v>219</v>
      </c>
      <c r="G93" s="273"/>
      <c r="H93" s="273"/>
      <c r="I93" s="273"/>
      <c r="J93" s="54">
        <f>G93+I93-H93</f>
        <v>0</v>
      </c>
      <c r="K93" s="273"/>
      <c r="L93" s="55">
        <f t="shared" si="31"/>
        <v>0</v>
      </c>
      <c r="M93" s="56" t="e">
        <f t="shared" si="30"/>
        <v>#DIV/0!</v>
      </c>
      <c r="N93" s="57" t="e">
        <f t="shared" si="25"/>
        <v>#DIV/0!</v>
      </c>
      <c r="O93" s="57" t="e">
        <f t="shared" si="26"/>
        <v>#DIV/0!</v>
      </c>
      <c r="P93" s="58" t="e">
        <f t="shared" si="27"/>
        <v>#DIV/0!</v>
      </c>
      <c r="Q93" s="272"/>
      <c r="R93" s="59" t="e">
        <f t="shared" si="28"/>
        <v>#DIV/0!</v>
      </c>
      <c r="S93" s="85"/>
      <c r="T93" s="60"/>
      <c r="U93" s="48"/>
      <c r="V93" s="49"/>
    </row>
    <row r="94" spans="1:22" s="9" customFormat="1">
      <c r="A94" s="5"/>
      <c r="B94" s="258"/>
      <c r="C94" s="258"/>
      <c r="D94" s="44" t="s">
        <v>98</v>
      </c>
      <c r="E94" s="45"/>
      <c r="F94" s="61"/>
      <c r="G94" s="258">
        <f>G77+G88</f>
        <v>0</v>
      </c>
      <c r="H94" s="258"/>
      <c r="I94" s="258"/>
      <c r="J94" s="258">
        <f>J77+J88</f>
        <v>0</v>
      </c>
      <c r="K94" s="258">
        <f>K77+K88</f>
        <v>0</v>
      </c>
      <c r="L94" s="258">
        <f>L77+L88</f>
        <v>0</v>
      </c>
      <c r="M94" s="259" t="e">
        <f t="shared" si="30"/>
        <v>#DIV/0!</v>
      </c>
      <c r="N94" s="236" t="e">
        <f t="shared" si="25"/>
        <v>#DIV/0!</v>
      </c>
      <c r="O94" s="236" t="e">
        <f t="shared" si="26"/>
        <v>#DIV/0!</v>
      </c>
      <c r="P94" s="237" t="e">
        <f>IF(ABS(O94)&gt;100%,"O","X")</f>
        <v>#DIV/0!</v>
      </c>
      <c r="Q94" s="240"/>
      <c r="R94" s="238" t="e">
        <f>IF(P94="O","O",IF(Q94="O","O","X"))</f>
        <v>#DIV/0!</v>
      </c>
      <c r="S94" s="264"/>
      <c r="T94" s="252"/>
      <c r="U94" s="93"/>
      <c r="V94" s="94"/>
    </row>
    <row r="95" spans="1:22" s="9" customFormat="1">
      <c r="A95" s="5"/>
      <c r="B95" s="258"/>
      <c r="C95" s="258"/>
      <c r="D95" s="44" t="s">
        <v>148</v>
      </c>
      <c r="E95" s="45"/>
      <c r="F95" s="61"/>
      <c r="G95" s="258">
        <f>SUM(G96:G96)</f>
        <v>0</v>
      </c>
      <c r="H95" s="258"/>
      <c r="I95" s="258"/>
      <c r="J95" s="258">
        <f>SUM(J96:J96)</f>
        <v>0</v>
      </c>
      <c r="K95" s="258">
        <f>SUM(K96:K96)</f>
        <v>0</v>
      </c>
      <c r="L95" s="258">
        <f>SUM(L96:L96)</f>
        <v>0</v>
      </c>
      <c r="M95" s="259" t="e">
        <f t="shared" si="30"/>
        <v>#DIV/0!</v>
      </c>
      <c r="N95" s="236" t="e">
        <f t="shared" si="25"/>
        <v>#DIV/0!</v>
      </c>
      <c r="O95" s="236" t="e">
        <f t="shared" si="26"/>
        <v>#DIV/0!</v>
      </c>
      <c r="P95" s="237" t="e">
        <f t="shared" ref="P95:P110" si="32">IF(ABS(O95)&gt;100%,"O","X")</f>
        <v>#DIV/0!</v>
      </c>
      <c r="Q95" s="240"/>
      <c r="R95" s="238" t="e">
        <f t="shared" ref="R95:R110" si="33">IF(P95="O","O",IF(Q95="O","O","X"))</f>
        <v>#DIV/0!</v>
      </c>
      <c r="S95" s="263"/>
      <c r="T95" s="99"/>
      <c r="U95" s="93"/>
      <c r="V95" s="94"/>
    </row>
    <row r="96" spans="1:22">
      <c r="B96" s="55"/>
      <c r="C96" s="55" t="s">
        <v>50</v>
      </c>
      <c r="D96" s="50"/>
      <c r="E96" s="52"/>
      <c r="F96" s="53" t="s">
        <v>50</v>
      </c>
      <c r="G96" s="273"/>
      <c r="H96" s="273"/>
      <c r="I96" s="273"/>
      <c r="J96" s="54">
        <f>G96+I96-H96</f>
        <v>0</v>
      </c>
      <c r="K96" s="273"/>
      <c r="L96" s="55">
        <f t="shared" ref="L96" si="34">J96-K96</f>
        <v>0</v>
      </c>
      <c r="M96" s="56" t="e">
        <f t="shared" si="30"/>
        <v>#DIV/0!</v>
      </c>
      <c r="N96" s="57" t="e">
        <f t="shared" si="25"/>
        <v>#DIV/0!</v>
      </c>
      <c r="O96" s="57" t="e">
        <f t="shared" si="26"/>
        <v>#DIV/0!</v>
      </c>
      <c r="P96" s="58" t="e">
        <f t="shared" si="32"/>
        <v>#DIV/0!</v>
      </c>
      <c r="Q96" s="272"/>
      <c r="R96" s="59" t="e">
        <f t="shared" si="33"/>
        <v>#DIV/0!</v>
      </c>
      <c r="S96" s="85"/>
      <c r="T96" s="60"/>
      <c r="U96" s="48"/>
      <c r="V96" s="49"/>
    </row>
    <row r="97" spans="1:22" s="9" customFormat="1">
      <c r="A97" s="5"/>
      <c r="B97" s="258"/>
      <c r="C97" s="258"/>
      <c r="D97" s="44" t="s">
        <v>149</v>
      </c>
      <c r="E97" s="45"/>
      <c r="F97" s="61"/>
      <c r="G97" s="258">
        <f>SUM(G98:G99)</f>
        <v>0</v>
      </c>
      <c r="H97" s="258"/>
      <c r="I97" s="258"/>
      <c r="J97" s="258">
        <f>SUM(J98:J99)</f>
        <v>0</v>
      </c>
      <c r="K97" s="258">
        <f>SUM(K98:K99)</f>
        <v>0</v>
      </c>
      <c r="L97" s="258">
        <f>SUM(L98:L99)</f>
        <v>0</v>
      </c>
      <c r="M97" s="259" t="e">
        <f t="shared" si="30"/>
        <v>#DIV/0!</v>
      </c>
      <c r="N97" s="236" t="e">
        <f t="shared" si="25"/>
        <v>#DIV/0!</v>
      </c>
      <c r="O97" s="236" t="e">
        <f t="shared" si="26"/>
        <v>#DIV/0!</v>
      </c>
      <c r="P97" s="237" t="e">
        <f t="shared" si="32"/>
        <v>#DIV/0!</v>
      </c>
      <c r="Q97" s="240"/>
      <c r="R97" s="238" t="e">
        <f t="shared" si="33"/>
        <v>#DIV/0!</v>
      </c>
      <c r="S97" s="263"/>
      <c r="T97" s="99"/>
      <c r="U97" s="93"/>
      <c r="V97" s="94"/>
    </row>
    <row r="98" spans="1:22">
      <c r="B98" s="55"/>
      <c r="C98" s="55" t="s">
        <v>27</v>
      </c>
      <c r="D98" s="50"/>
      <c r="E98" s="52"/>
      <c r="F98" s="53" t="s">
        <v>27</v>
      </c>
      <c r="G98" s="273"/>
      <c r="H98" s="273"/>
      <c r="I98" s="273"/>
      <c r="J98" s="54">
        <f>G98+I98-H98</f>
        <v>0</v>
      </c>
      <c r="K98" s="273"/>
      <c r="L98" s="55">
        <f t="shared" ref="L98:L99" si="35">J98-K98</f>
        <v>0</v>
      </c>
      <c r="M98" s="56" t="e">
        <f t="shared" si="30"/>
        <v>#DIV/0!</v>
      </c>
      <c r="N98" s="57" t="e">
        <f t="shared" si="25"/>
        <v>#DIV/0!</v>
      </c>
      <c r="O98" s="57" t="e">
        <f t="shared" si="26"/>
        <v>#DIV/0!</v>
      </c>
      <c r="P98" s="58" t="e">
        <f t="shared" si="32"/>
        <v>#DIV/0!</v>
      </c>
      <c r="Q98" s="272"/>
      <c r="R98" s="59" t="e">
        <f t="shared" si="33"/>
        <v>#DIV/0!</v>
      </c>
      <c r="S98" s="85"/>
      <c r="T98" s="60"/>
      <c r="U98" s="48"/>
      <c r="V98" s="49"/>
    </row>
    <row r="99" spans="1:22">
      <c r="B99" s="55"/>
      <c r="C99" s="55" t="s">
        <v>86</v>
      </c>
      <c r="D99" s="50"/>
      <c r="E99" s="52"/>
      <c r="F99" s="53" t="s">
        <v>86</v>
      </c>
      <c r="G99" s="273"/>
      <c r="H99" s="273"/>
      <c r="I99" s="273"/>
      <c r="J99" s="54">
        <f>G99+I99-H99</f>
        <v>0</v>
      </c>
      <c r="K99" s="273"/>
      <c r="L99" s="55">
        <f t="shared" si="35"/>
        <v>0</v>
      </c>
      <c r="M99" s="56" t="e">
        <f t="shared" si="30"/>
        <v>#DIV/0!</v>
      </c>
      <c r="N99" s="57" t="e">
        <f t="shared" si="25"/>
        <v>#DIV/0!</v>
      </c>
      <c r="O99" s="57" t="e">
        <f t="shared" si="26"/>
        <v>#DIV/0!</v>
      </c>
      <c r="P99" s="58" t="e">
        <f t="shared" si="32"/>
        <v>#DIV/0!</v>
      </c>
      <c r="Q99" s="272"/>
      <c r="R99" s="59" t="e">
        <f t="shared" si="33"/>
        <v>#DIV/0!</v>
      </c>
      <c r="S99" s="85"/>
      <c r="T99" s="60"/>
      <c r="U99" s="48"/>
      <c r="V99" s="49"/>
    </row>
    <row r="100" spans="1:22" s="9" customFormat="1">
      <c r="A100" s="5"/>
      <c r="B100" s="258"/>
      <c r="C100" s="258"/>
      <c r="D100" s="44" t="s">
        <v>220</v>
      </c>
      <c r="E100" s="45"/>
      <c r="F100" s="61"/>
      <c r="G100" s="258">
        <f>SUM(G101:G102)</f>
        <v>0</v>
      </c>
      <c r="H100" s="258"/>
      <c r="I100" s="258"/>
      <c r="J100" s="258">
        <f>SUM(J101:J102)</f>
        <v>0</v>
      </c>
      <c r="K100" s="258">
        <f>SUM(K101:K102)</f>
        <v>0</v>
      </c>
      <c r="L100" s="258">
        <f>SUM(L101:L102)</f>
        <v>0</v>
      </c>
      <c r="M100" s="259" t="e">
        <f t="shared" si="30"/>
        <v>#DIV/0!</v>
      </c>
      <c r="N100" s="236" t="e">
        <f t="shared" si="25"/>
        <v>#DIV/0!</v>
      </c>
      <c r="O100" s="236" t="e">
        <f t="shared" si="26"/>
        <v>#DIV/0!</v>
      </c>
      <c r="P100" s="237" t="e">
        <f t="shared" si="32"/>
        <v>#DIV/0!</v>
      </c>
      <c r="Q100" s="240"/>
      <c r="R100" s="238" t="e">
        <f t="shared" si="33"/>
        <v>#DIV/0!</v>
      </c>
      <c r="S100" s="263"/>
      <c r="T100" s="99"/>
      <c r="U100" s="93"/>
      <c r="V100" s="94"/>
    </row>
    <row r="101" spans="1:22">
      <c r="B101" s="55"/>
      <c r="C101" s="55" t="s">
        <v>59</v>
      </c>
      <c r="D101" s="50"/>
      <c r="E101" s="52"/>
      <c r="F101" s="53" t="s">
        <v>59</v>
      </c>
      <c r="G101" s="273"/>
      <c r="H101" s="273"/>
      <c r="I101" s="273"/>
      <c r="J101" s="54">
        <f>G101+I101-H101</f>
        <v>0</v>
      </c>
      <c r="K101" s="273"/>
      <c r="L101" s="55">
        <f t="shared" ref="L101:L102" si="36">J101-K101</f>
        <v>0</v>
      </c>
      <c r="M101" s="56" t="e">
        <f t="shared" si="30"/>
        <v>#DIV/0!</v>
      </c>
      <c r="N101" s="57" t="e">
        <f t="shared" si="25"/>
        <v>#DIV/0!</v>
      </c>
      <c r="O101" s="57" t="e">
        <f t="shared" si="26"/>
        <v>#DIV/0!</v>
      </c>
      <c r="P101" s="58" t="e">
        <f t="shared" si="32"/>
        <v>#DIV/0!</v>
      </c>
      <c r="Q101" s="272"/>
      <c r="R101" s="59" t="e">
        <f t="shared" si="33"/>
        <v>#DIV/0!</v>
      </c>
      <c r="S101" s="85"/>
      <c r="T101" s="60"/>
      <c r="U101" s="48"/>
      <c r="V101" s="49"/>
    </row>
    <row r="102" spans="1:22">
      <c r="B102" s="55"/>
      <c r="C102" s="55" t="s">
        <v>150</v>
      </c>
      <c r="D102" s="50"/>
      <c r="E102" s="52"/>
      <c r="F102" s="53" t="s">
        <v>150</v>
      </c>
      <c r="G102" s="273"/>
      <c r="H102" s="273"/>
      <c r="I102" s="273"/>
      <c r="J102" s="54">
        <f>G102+I102-H102</f>
        <v>0</v>
      </c>
      <c r="K102" s="273"/>
      <c r="L102" s="55">
        <f t="shared" si="36"/>
        <v>0</v>
      </c>
      <c r="M102" s="56" t="e">
        <f t="shared" si="30"/>
        <v>#DIV/0!</v>
      </c>
      <c r="N102" s="57" t="e">
        <f t="shared" si="25"/>
        <v>#DIV/0!</v>
      </c>
      <c r="O102" s="57" t="e">
        <f t="shared" si="26"/>
        <v>#DIV/0!</v>
      </c>
      <c r="P102" s="58" t="e">
        <f t="shared" si="32"/>
        <v>#DIV/0!</v>
      </c>
      <c r="Q102" s="272"/>
      <c r="R102" s="59" t="e">
        <f t="shared" si="33"/>
        <v>#DIV/0!</v>
      </c>
      <c r="S102" s="85"/>
      <c r="T102" s="60"/>
      <c r="U102" s="48"/>
      <c r="V102" s="49"/>
    </row>
    <row r="103" spans="1:22" s="9" customFormat="1">
      <c r="A103" s="5"/>
      <c r="B103" s="258"/>
      <c r="C103" s="258"/>
      <c r="D103" s="44" t="s">
        <v>151</v>
      </c>
      <c r="E103" s="45"/>
      <c r="F103" s="61"/>
      <c r="G103" s="258">
        <f>SUM(G104:G105)</f>
        <v>0</v>
      </c>
      <c r="H103" s="258"/>
      <c r="I103" s="258"/>
      <c r="J103" s="258">
        <f>SUM(J104:J105)</f>
        <v>0</v>
      </c>
      <c r="K103" s="258">
        <f>SUM(K104:K105)</f>
        <v>0</v>
      </c>
      <c r="L103" s="258">
        <f>SUM(L104:L105)</f>
        <v>0</v>
      </c>
      <c r="M103" s="259" t="e">
        <f t="shared" si="30"/>
        <v>#DIV/0!</v>
      </c>
      <c r="N103" s="236" t="e">
        <f t="shared" si="25"/>
        <v>#DIV/0!</v>
      </c>
      <c r="O103" s="236" t="e">
        <f t="shared" si="26"/>
        <v>#DIV/0!</v>
      </c>
      <c r="P103" s="237" t="e">
        <f t="shared" si="32"/>
        <v>#DIV/0!</v>
      </c>
      <c r="Q103" s="240"/>
      <c r="R103" s="238" t="e">
        <f t="shared" si="33"/>
        <v>#DIV/0!</v>
      </c>
      <c r="S103" s="263"/>
      <c r="T103" s="99"/>
      <c r="U103" s="93"/>
      <c r="V103" s="94"/>
    </row>
    <row r="104" spans="1:22">
      <c r="B104" s="55"/>
      <c r="C104" s="55" t="s">
        <v>87</v>
      </c>
      <c r="D104" s="50"/>
      <c r="E104" s="52"/>
      <c r="F104" s="53" t="s">
        <v>87</v>
      </c>
      <c r="G104" s="273"/>
      <c r="H104" s="273"/>
      <c r="I104" s="273"/>
      <c r="J104" s="54">
        <f>G104+I104-H104</f>
        <v>0</v>
      </c>
      <c r="K104" s="273"/>
      <c r="L104" s="55">
        <f t="shared" ref="L104:L105" si="37">J104-K104</f>
        <v>0</v>
      </c>
      <c r="M104" s="56" t="e">
        <f t="shared" si="30"/>
        <v>#DIV/0!</v>
      </c>
      <c r="N104" s="57" t="e">
        <f t="shared" si="25"/>
        <v>#DIV/0!</v>
      </c>
      <c r="O104" s="57" t="e">
        <f t="shared" si="26"/>
        <v>#DIV/0!</v>
      </c>
      <c r="P104" s="58" t="e">
        <f t="shared" si="32"/>
        <v>#DIV/0!</v>
      </c>
      <c r="Q104" s="272"/>
      <c r="R104" s="59" t="e">
        <f t="shared" si="33"/>
        <v>#DIV/0!</v>
      </c>
      <c r="S104" s="85"/>
      <c r="T104" s="60"/>
      <c r="U104" s="48"/>
      <c r="V104" s="49"/>
    </row>
    <row r="105" spans="1:22">
      <c r="B105" s="55"/>
      <c r="C105" s="55" t="s">
        <v>221</v>
      </c>
      <c r="D105" s="50"/>
      <c r="E105" s="52"/>
      <c r="F105" s="53" t="s">
        <v>221</v>
      </c>
      <c r="G105" s="273"/>
      <c r="H105" s="273"/>
      <c r="I105" s="273"/>
      <c r="J105" s="54">
        <f>G105+I105-H105</f>
        <v>0</v>
      </c>
      <c r="K105" s="273"/>
      <c r="L105" s="55">
        <f t="shared" si="37"/>
        <v>0</v>
      </c>
      <c r="M105" s="56" t="e">
        <f t="shared" si="30"/>
        <v>#DIV/0!</v>
      </c>
      <c r="N105" s="57" t="e">
        <f t="shared" si="25"/>
        <v>#DIV/0!</v>
      </c>
      <c r="O105" s="57" t="e">
        <f t="shared" si="26"/>
        <v>#DIV/0!</v>
      </c>
      <c r="P105" s="58" t="e">
        <f t="shared" si="32"/>
        <v>#DIV/0!</v>
      </c>
      <c r="Q105" s="272"/>
      <c r="R105" s="59" t="e">
        <f t="shared" si="33"/>
        <v>#DIV/0!</v>
      </c>
      <c r="S105" s="85"/>
      <c r="T105" s="60"/>
      <c r="U105" s="48"/>
      <c r="V105" s="49"/>
    </row>
    <row r="106" spans="1:22" s="9" customFormat="1">
      <c r="A106" s="5"/>
      <c r="B106" s="258"/>
      <c r="C106" s="258"/>
      <c r="D106" s="44" t="s">
        <v>152</v>
      </c>
      <c r="E106" s="45"/>
      <c r="F106" s="61"/>
      <c r="G106" s="258">
        <f>SUM(G107:G110)</f>
        <v>0</v>
      </c>
      <c r="H106" s="258"/>
      <c r="I106" s="258"/>
      <c r="J106" s="258">
        <f>SUM(J107:J110)</f>
        <v>0</v>
      </c>
      <c r="K106" s="258">
        <f>SUM(K107:K110)</f>
        <v>0</v>
      </c>
      <c r="L106" s="258">
        <f>SUM(L107:L110)</f>
        <v>0</v>
      </c>
      <c r="M106" s="259" t="e">
        <f t="shared" si="30"/>
        <v>#DIV/0!</v>
      </c>
      <c r="N106" s="236" t="e">
        <f t="shared" si="25"/>
        <v>#DIV/0!</v>
      </c>
      <c r="O106" s="236" t="e">
        <f t="shared" si="26"/>
        <v>#DIV/0!</v>
      </c>
      <c r="P106" s="237" t="e">
        <f t="shared" si="32"/>
        <v>#DIV/0!</v>
      </c>
      <c r="Q106" s="240"/>
      <c r="R106" s="238" t="e">
        <f t="shared" si="33"/>
        <v>#DIV/0!</v>
      </c>
      <c r="S106" s="263"/>
      <c r="T106" s="99"/>
      <c r="U106" s="93"/>
      <c r="V106" s="94"/>
    </row>
    <row r="107" spans="1:22">
      <c r="B107" s="55"/>
      <c r="C107" s="55" t="s">
        <v>153</v>
      </c>
      <c r="D107" s="50"/>
      <c r="E107" s="52"/>
      <c r="F107" s="53" t="s">
        <v>153</v>
      </c>
      <c r="G107" s="273"/>
      <c r="H107" s="273"/>
      <c r="I107" s="273"/>
      <c r="J107" s="54">
        <f>G107+I107-H107</f>
        <v>0</v>
      </c>
      <c r="K107" s="273"/>
      <c r="L107" s="55">
        <f t="shared" ref="L107:L110" si="38">J107-K107</f>
        <v>0</v>
      </c>
      <c r="M107" s="56" t="e">
        <f t="shared" si="30"/>
        <v>#DIV/0!</v>
      </c>
      <c r="N107" s="57" t="e">
        <f t="shared" si="25"/>
        <v>#DIV/0!</v>
      </c>
      <c r="O107" s="57" t="e">
        <f t="shared" si="26"/>
        <v>#DIV/0!</v>
      </c>
      <c r="P107" s="58" t="e">
        <f t="shared" si="32"/>
        <v>#DIV/0!</v>
      </c>
      <c r="Q107" s="272"/>
      <c r="R107" s="59" t="e">
        <f t="shared" si="33"/>
        <v>#DIV/0!</v>
      </c>
      <c r="S107" s="85"/>
      <c r="T107" s="60"/>
      <c r="U107" s="48"/>
      <c r="V107" s="49"/>
    </row>
    <row r="108" spans="1:22">
      <c r="B108" s="55"/>
      <c r="C108" s="55" t="s">
        <v>222</v>
      </c>
      <c r="D108" s="50"/>
      <c r="E108" s="52"/>
      <c r="F108" s="53" t="s">
        <v>222</v>
      </c>
      <c r="G108" s="273"/>
      <c r="H108" s="273"/>
      <c r="I108" s="273"/>
      <c r="J108" s="54">
        <f>G108+I108-H108</f>
        <v>0</v>
      </c>
      <c r="K108" s="273"/>
      <c r="L108" s="55">
        <f t="shared" si="38"/>
        <v>0</v>
      </c>
      <c r="M108" s="56" t="e">
        <f t="shared" si="30"/>
        <v>#DIV/0!</v>
      </c>
      <c r="N108" s="57" t="e">
        <f t="shared" si="25"/>
        <v>#DIV/0!</v>
      </c>
      <c r="O108" s="57" t="e">
        <f t="shared" si="26"/>
        <v>#DIV/0!</v>
      </c>
      <c r="P108" s="58" t="e">
        <f t="shared" si="32"/>
        <v>#DIV/0!</v>
      </c>
      <c r="Q108" s="272"/>
      <c r="R108" s="59" t="e">
        <f t="shared" si="33"/>
        <v>#DIV/0!</v>
      </c>
      <c r="S108" s="85"/>
      <c r="T108" s="60"/>
      <c r="U108" s="48"/>
      <c r="V108" s="49"/>
    </row>
    <row r="109" spans="1:22">
      <c r="B109" s="55"/>
      <c r="C109" s="55" t="s">
        <v>223</v>
      </c>
      <c r="D109" s="50"/>
      <c r="E109" s="52"/>
      <c r="F109" s="53" t="s">
        <v>223</v>
      </c>
      <c r="G109" s="273"/>
      <c r="H109" s="273"/>
      <c r="I109" s="273"/>
      <c r="J109" s="54">
        <f>G109+I109-H109</f>
        <v>0</v>
      </c>
      <c r="K109" s="273"/>
      <c r="L109" s="55">
        <f t="shared" si="38"/>
        <v>0</v>
      </c>
      <c r="M109" s="56" t="e">
        <f t="shared" si="30"/>
        <v>#DIV/0!</v>
      </c>
      <c r="N109" s="57" t="e">
        <f t="shared" si="25"/>
        <v>#DIV/0!</v>
      </c>
      <c r="O109" s="57" t="e">
        <f t="shared" si="26"/>
        <v>#DIV/0!</v>
      </c>
      <c r="P109" s="58" t="e">
        <f t="shared" si="32"/>
        <v>#DIV/0!</v>
      </c>
      <c r="Q109" s="272"/>
      <c r="R109" s="59" t="e">
        <f t="shared" si="33"/>
        <v>#DIV/0!</v>
      </c>
      <c r="S109" s="85"/>
      <c r="T109" s="60"/>
      <c r="U109" s="48"/>
      <c r="V109" s="49"/>
    </row>
    <row r="110" spans="1:22">
      <c r="B110" s="245"/>
      <c r="C110" s="245" t="s">
        <v>108</v>
      </c>
      <c r="D110" s="50"/>
      <c r="E110" s="52"/>
      <c r="F110" s="64" t="s">
        <v>108</v>
      </c>
      <c r="G110" s="275"/>
      <c r="H110" s="245">
        <f>H202</f>
        <v>0</v>
      </c>
      <c r="I110" s="245">
        <f>I202</f>
        <v>0</v>
      </c>
      <c r="J110" s="245">
        <f>G110+I110-H110</f>
        <v>0</v>
      </c>
      <c r="K110" s="275"/>
      <c r="L110" s="245">
        <f t="shared" si="38"/>
        <v>0</v>
      </c>
      <c r="M110" s="56" t="e">
        <f t="shared" si="30"/>
        <v>#DIV/0!</v>
      </c>
      <c r="N110" s="56" t="e">
        <f t="shared" si="25"/>
        <v>#DIV/0!</v>
      </c>
      <c r="O110" s="56" t="e">
        <f t="shared" si="26"/>
        <v>#DIV/0!</v>
      </c>
      <c r="P110" s="239" t="e">
        <f t="shared" si="32"/>
        <v>#DIV/0!</v>
      </c>
      <c r="Q110" s="274"/>
      <c r="R110" s="239" t="e">
        <f t="shared" si="33"/>
        <v>#DIV/0!</v>
      </c>
      <c r="S110" s="85"/>
      <c r="T110" s="60"/>
      <c r="U110" s="48"/>
      <c r="V110" s="49"/>
    </row>
    <row r="111" spans="1:22" s="9" customFormat="1">
      <c r="A111" s="5"/>
      <c r="B111" s="258"/>
      <c r="C111" s="258"/>
      <c r="D111" s="44" t="s">
        <v>100</v>
      </c>
      <c r="E111" s="45"/>
      <c r="F111" s="61"/>
      <c r="G111" s="258">
        <f>G95+G97+G100+G103+G106</f>
        <v>0</v>
      </c>
      <c r="H111" s="258"/>
      <c r="I111" s="258"/>
      <c r="J111" s="258">
        <f>J95+J97+J100+J103+J106</f>
        <v>0</v>
      </c>
      <c r="K111" s="258">
        <f>K95+K97+K100+K103+K106</f>
        <v>0</v>
      </c>
      <c r="L111" s="258">
        <f>L95+L97+L100+L103+L106</f>
        <v>0</v>
      </c>
      <c r="M111" s="259" t="e">
        <f t="shared" si="30"/>
        <v>#DIV/0!</v>
      </c>
      <c r="N111" s="236" t="e">
        <f t="shared" si="25"/>
        <v>#DIV/0!</v>
      </c>
      <c r="O111" s="236" t="e">
        <f t="shared" si="26"/>
        <v>#DIV/0!</v>
      </c>
      <c r="P111" s="237" t="e">
        <f>IF(ABS(O111)&gt;100%,"O","X")</f>
        <v>#DIV/0!</v>
      </c>
      <c r="Q111" s="240"/>
      <c r="R111" s="238" t="e">
        <f>IF(P111="O","O",IF(Q111="O","O","X"))</f>
        <v>#DIV/0!</v>
      </c>
      <c r="S111" s="264"/>
      <c r="T111" s="252"/>
      <c r="U111" s="93"/>
      <c r="V111" s="94"/>
    </row>
    <row r="112" spans="1:22" s="9" customFormat="1">
      <c r="A112" s="5"/>
      <c r="B112" s="258"/>
      <c r="C112" s="258"/>
      <c r="D112" s="44" t="s">
        <v>101</v>
      </c>
      <c r="E112" s="45"/>
      <c r="F112" s="61"/>
      <c r="G112" s="258">
        <f>G94+G111</f>
        <v>0</v>
      </c>
      <c r="H112" s="258"/>
      <c r="I112" s="258"/>
      <c r="J112" s="258">
        <f>J94+J111</f>
        <v>0</v>
      </c>
      <c r="K112" s="258">
        <f>K94+K111</f>
        <v>0</v>
      </c>
      <c r="L112" s="258">
        <f>L94+L111</f>
        <v>0</v>
      </c>
      <c r="M112" s="259" t="e">
        <f t="shared" si="30"/>
        <v>#DIV/0!</v>
      </c>
      <c r="N112" s="236" t="e">
        <f t="shared" si="25"/>
        <v>#DIV/0!</v>
      </c>
      <c r="O112" s="236" t="e">
        <f t="shared" si="26"/>
        <v>#DIV/0!</v>
      </c>
      <c r="P112" s="237" t="e">
        <f>IF(ABS(O112)&gt;100%,"O","X")</f>
        <v>#DIV/0!</v>
      </c>
      <c r="Q112" s="240"/>
      <c r="R112" s="238" t="e">
        <f>IF(P112="O","O",IF(Q112="O","O","X"))</f>
        <v>#DIV/0!</v>
      </c>
      <c r="S112" s="264"/>
      <c r="T112" s="252"/>
      <c r="U112" s="93"/>
      <c r="V112" s="94"/>
    </row>
    <row r="113" spans="1:22">
      <c r="B113" s="29"/>
      <c r="C113" s="29"/>
      <c r="D113" s="65"/>
      <c r="E113" s="65"/>
      <c r="F113" s="65"/>
      <c r="G113" s="29" t="b">
        <f>G112=G76</f>
        <v>1</v>
      </c>
      <c r="H113" s="29">
        <f>SUM(H14:H112)</f>
        <v>0</v>
      </c>
      <c r="I113" s="29">
        <f>SUM(I14:I112)</f>
        <v>0</v>
      </c>
      <c r="J113" s="29" t="b">
        <f>J112=J76</f>
        <v>1</v>
      </c>
      <c r="K113" s="29" t="b">
        <f>K112=K76</f>
        <v>1</v>
      </c>
      <c r="L113" s="29" t="b">
        <f>L112=L76</f>
        <v>1</v>
      </c>
      <c r="M113" s="66"/>
      <c r="N113" s="66"/>
      <c r="O113" s="66"/>
      <c r="P113" s="66"/>
      <c r="Q113" s="66"/>
      <c r="R113" s="66"/>
      <c r="S113" s="48"/>
      <c r="T113" s="48"/>
      <c r="U113" s="48"/>
      <c r="V113" s="49"/>
    </row>
    <row r="114" spans="1:22">
      <c r="A114" s="10">
        <v>1</v>
      </c>
      <c r="B114" s="67"/>
      <c r="C114" s="67"/>
      <c r="D114" s="65" t="s">
        <v>7</v>
      </c>
      <c r="E114" s="65"/>
      <c r="F114" s="65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48"/>
      <c r="T114" s="48"/>
      <c r="U114" s="48"/>
      <c r="V114" s="49"/>
    </row>
    <row r="115" spans="1:22">
      <c r="A115" s="10">
        <v>1</v>
      </c>
      <c r="B115" s="31"/>
      <c r="C115" s="31"/>
      <c r="D115" s="30"/>
      <c r="E115" s="30"/>
      <c r="F115" s="30"/>
      <c r="G115" s="276"/>
      <c r="H115" s="276"/>
      <c r="I115" s="276"/>
      <c r="J115" s="31" t="s">
        <v>133</v>
      </c>
      <c r="K115" s="276"/>
      <c r="L115" s="69" t="s">
        <v>1</v>
      </c>
      <c r="M115" s="70"/>
      <c r="N115" s="71" t="s">
        <v>70</v>
      </c>
      <c r="O115" s="71" t="s">
        <v>71</v>
      </c>
      <c r="P115" s="71" t="s">
        <v>66</v>
      </c>
      <c r="Q115" s="277"/>
      <c r="R115" s="71"/>
      <c r="T115" s="48"/>
      <c r="U115" s="68"/>
      <c r="V115" s="11"/>
    </row>
    <row r="116" spans="1:22">
      <c r="A116" s="10">
        <v>1</v>
      </c>
      <c r="B116" s="36"/>
      <c r="C116" s="36"/>
      <c r="D116" s="35"/>
      <c r="E116" s="35"/>
      <c r="F116" s="35"/>
      <c r="G116" s="36">
        <f>$G$12</f>
        <v>0</v>
      </c>
      <c r="H116" s="36"/>
      <c r="I116" s="36"/>
      <c r="J116" s="36">
        <f>G116</f>
        <v>0</v>
      </c>
      <c r="K116" s="74">
        <f>G116-366</f>
        <v>-366</v>
      </c>
      <c r="L116" s="75" t="s">
        <v>2</v>
      </c>
      <c r="M116" s="76" t="s">
        <v>0</v>
      </c>
      <c r="N116" s="77">
        <f>$N$12</f>
        <v>0</v>
      </c>
      <c r="O116" s="77">
        <f>$O$12</f>
        <v>0</v>
      </c>
      <c r="P116" s="77" t="s">
        <v>67</v>
      </c>
      <c r="Q116" s="77" t="s">
        <v>68</v>
      </c>
      <c r="R116" s="77" t="s">
        <v>69</v>
      </c>
      <c r="T116" s="48"/>
      <c r="U116" s="72"/>
      <c r="V116" s="73"/>
    </row>
    <row r="117" spans="1:22">
      <c r="A117" s="10">
        <v>1</v>
      </c>
      <c r="B117" s="255"/>
      <c r="C117" s="255" t="s">
        <v>175</v>
      </c>
      <c r="D117" s="253" t="s">
        <v>19</v>
      </c>
      <c r="E117" s="254"/>
      <c r="F117" s="254"/>
      <c r="G117" s="278"/>
      <c r="H117" s="278"/>
      <c r="I117" s="278"/>
      <c r="J117" s="255"/>
      <c r="K117" s="278"/>
      <c r="L117" s="255"/>
      <c r="M117" s="256"/>
      <c r="N117" s="256"/>
      <c r="O117" s="256"/>
      <c r="P117" s="256"/>
      <c r="Q117" s="279"/>
      <c r="R117" s="256"/>
      <c r="S117" s="257"/>
      <c r="T117" s="48"/>
      <c r="U117" s="78"/>
      <c r="V117" s="73"/>
    </row>
    <row r="118" spans="1:22">
      <c r="B118" s="258"/>
      <c r="C118" s="258"/>
      <c r="D118" s="44" t="s">
        <v>224</v>
      </c>
      <c r="E118" s="45"/>
      <c r="F118" s="45"/>
      <c r="G118" s="258">
        <f>SUM(G119:G122)</f>
        <v>0</v>
      </c>
      <c r="H118" s="258"/>
      <c r="I118" s="258"/>
      <c r="J118" s="258">
        <f>SUM(J119:J122)</f>
        <v>0</v>
      </c>
      <c r="K118" s="258">
        <f>SUM(K119:K122)</f>
        <v>0</v>
      </c>
      <c r="L118" s="258">
        <f>SUM(L119:L122)</f>
        <v>0</v>
      </c>
      <c r="M118" s="259" t="e">
        <f t="shared" ref="M118:M123" si="39">L118/K118</f>
        <v>#DIV/0!</v>
      </c>
      <c r="N118" s="47"/>
      <c r="O118" s="47"/>
      <c r="P118" s="47"/>
      <c r="Q118" s="47"/>
      <c r="R118" s="47"/>
      <c r="S118" s="81"/>
      <c r="T118" s="48"/>
      <c r="U118" s="79"/>
      <c r="V118" s="80"/>
    </row>
    <row r="119" spans="1:22">
      <c r="B119" s="84"/>
      <c r="C119" s="84" t="s">
        <v>225</v>
      </c>
      <c r="D119" s="50"/>
      <c r="E119" s="52"/>
      <c r="F119" s="83" t="s">
        <v>225</v>
      </c>
      <c r="G119" s="280"/>
      <c r="H119" s="280"/>
      <c r="I119" s="280"/>
      <c r="J119" s="54">
        <f>G119-H119+I119</f>
        <v>0</v>
      </c>
      <c r="K119" s="273"/>
      <c r="L119" s="55">
        <f t="shared" ref="L119:L122" si="40">J119-K119</f>
        <v>0</v>
      </c>
      <c r="M119" s="56" t="e">
        <f t="shared" si="39"/>
        <v>#DIV/0!</v>
      </c>
      <c r="N119" s="57" t="e">
        <f>G119/$N$12</f>
        <v>#DIV/0!</v>
      </c>
      <c r="O119" s="57" t="e">
        <f>G119*12/CurMonths/$O$12</f>
        <v>#DIV/0!</v>
      </c>
      <c r="P119" s="58" t="e">
        <f t="shared" ref="P119:P122" si="41">IF(ABS(O119)&gt;100%,"O","X")</f>
        <v>#DIV/0!</v>
      </c>
      <c r="Q119" s="281"/>
      <c r="R119" s="59" t="e">
        <f t="shared" ref="R119:R122" si="42">IF(P119="O","O",IF(Q119="O","O","X"))</f>
        <v>#DIV/0!</v>
      </c>
      <c r="S119" s="106"/>
      <c r="T119" s="60"/>
      <c r="V119" s="82"/>
    </row>
    <row r="120" spans="1:22">
      <c r="B120" s="84"/>
      <c r="C120" s="84" t="s">
        <v>226</v>
      </c>
      <c r="D120" s="50"/>
      <c r="E120" s="52"/>
      <c r="F120" s="83" t="s">
        <v>226</v>
      </c>
      <c r="G120" s="280"/>
      <c r="H120" s="280"/>
      <c r="I120" s="280"/>
      <c r="J120" s="54">
        <f>G120-H120+I120</f>
        <v>0</v>
      </c>
      <c r="K120" s="273"/>
      <c r="L120" s="55">
        <f t="shared" si="40"/>
        <v>0</v>
      </c>
      <c r="M120" s="56" t="e">
        <f t="shared" si="39"/>
        <v>#DIV/0!</v>
      </c>
      <c r="N120" s="57" t="e">
        <f>G120/$N$12</f>
        <v>#DIV/0!</v>
      </c>
      <c r="O120" s="57" t="e">
        <f>G120*12/CurMonths/$O$12</f>
        <v>#DIV/0!</v>
      </c>
      <c r="P120" s="58" t="e">
        <f t="shared" si="41"/>
        <v>#DIV/0!</v>
      </c>
      <c r="Q120" s="281"/>
      <c r="R120" s="59" t="e">
        <f t="shared" si="42"/>
        <v>#DIV/0!</v>
      </c>
      <c r="S120" s="106"/>
      <c r="T120" s="60"/>
      <c r="V120" s="82"/>
    </row>
    <row r="121" spans="1:22">
      <c r="B121" s="84"/>
      <c r="C121" s="84" t="s">
        <v>227</v>
      </c>
      <c r="D121" s="50"/>
      <c r="E121" s="52"/>
      <c r="F121" s="83" t="s">
        <v>227</v>
      </c>
      <c r="G121" s="280"/>
      <c r="H121" s="280"/>
      <c r="I121" s="280"/>
      <c r="J121" s="54">
        <f>G121-H121+I121</f>
        <v>0</v>
      </c>
      <c r="K121" s="273"/>
      <c r="L121" s="55">
        <f t="shared" si="40"/>
        <v>0</v>
      </c>
      <c r="M121" s="56" t="e">
        <f t="shared" si="39"/>
        <v>#DIV/0!</v>
      </c>
      <c r="N121" s="57" t="e">
        <f>G121/$N$12</f>
        <v>#DIV/0!</v>
      </c>
      <c r="O121" s="57" t="e">
        <f>G121*12/CurMonths/$O$12</f>
        <v>#DIV/0!</v>
      </c>
      <c r="P121" s="58" t="e">
        <f t="shared" si="41"/>
        <v>#DIV/0!</v>
      </c>
      <c r="Q121" s="281"/>
      <c r="R121" s="59" t="e">
        <f t="shared" si="42"/>
        <v>#DIV/0!</v>
      </c>
      <c r="S121" s="106"/>
      <c r="T121" s="60"/>
      <c r="V121" s="82"/>
    </row>
    <row r="122" spans="1:22">
      <c r="B122" s="84"/>
      <c r="C122" s="84" t="s">
        <v>228</v>
      </c>
      <c r="D122" s="50"/>
      <c r="E122" s="52"/>
      <c r="F122" s="83" t="s">
        <v>228</v>
      </c>
      <c r="G122" s="280"/>
      <c r="H122" s="280"/>
      <c r="I122" s="280"/>
      <c r="J122" s="54">
        <f>G122-H122+I122</f>
        <v>0</v>
      </c>
      <c r="K122" s="273"/>
      <c r="L122" s="55">
        <f t="shared" si="40"/>
        <v>0</v>
      </c>
      <c r="M122" s="56" t="e">
        <f t="shared" si="39"/>
        <v>#DIV/0!</v>
      </c>
      <c r="N122" s="57" t="e">
        <f>G122/$N$12</f>
        <v>#DIV/0!</v>
      </c>
      <c r="O122" s="57" t="e">
        <f>G122*12/CurMonths/$O$12</f>
        <v>#DIV/0!</v>
      </c>
      <c r="P122" s="58" t="e">
        <f t="shared" si="41"/>
        <v>#DIV/0!</v>
      </c>
      <c r="Q122" s="281"/>
      <c r="R122" s="59" t="e">
        <f t="shared" si="42"/>
        <v>#DIV/0!</v>
      </c>
      <c r="S122" s="106"/>
      <c r="T122" s="60"/>
      <c r="V122" s="82"/>
    </row>
    <row r="123" spans="1:22">
      <c r="B123" s="258"/>
      <c r="C123" s="258"/>
      <c r="D123" s="44" t="s">
        <v>229</v>
      </c>
      <c r="E123" s="45"/>
      <c r="F123" s="45"/>
      <c r="G123" s="258">
        <f>G124+G133</f>
        <v>0</v>
      </c>
      <c r="H123" s="258"/>
      <c r="I123" s="258"/>
      <c r="J123" s="258">
        <f>J124+J133</f>
        <v>0</v>
      </c>
      <c r="K123" s="258">
        <f>K124+K133</f>
        <v>0</v>
      </c>
      <c r="L123" s="258">
        <f>L124+L133</f>
        <v>0</v>
      </c>
      <c r="M123" s="259" t="e">
        <f t="shared" si="39"/>
        <v>#DIV/0!</v>
      </c>
      <c r="N123" s="47"/>
      <c r="O123" s="47"/>
      <c r="P123" s="47"/>
      <c r="Q123" s="47"/>
      <c r="R123" s="47"/>
      <c r="S123" s="81"/>
      <c r="T123" s="48"/>
      <c r="U123" s="79"/>
      <c r="V123" s="80"/>
    </row>
    <row r="124" spans="1:22">
      <c r="B124" s="260"/>
      <c r="C124" s="260"/>
      <c r="D124" s="50"/>
      <c r="E124" s="45" t="s">
        <v>230</v>
      </c>
      <c r="F124" s="52"/>
      <c r="G124" s="260">
        <f>SUM(G125:G132)</f>
        <v>0</v>
      </c>
      <c r="H124" s="260"/>
      <c r="I124" s="260"/>
      <c r="J124" s="260">
        <f>SUM(J125:J132)</f>
        <v>0</v>
      </c>
      <c r="K124" s="260">
        <f>SUM(K125:K132)</f>
        <v>0</v>
      </c>
      <c r="L124" s="260">
        <f>SUM(L125:L132)</f>
        <v>0</v>
      </c>
      <c r="M124" s="261" t="e">
        <f>L124/K124</f>
        <v>#DIV/0!</v>
      </c>
      <c r="N124" s="47"/>
      <c r="O124" s="47"/>
      <c r="P124" s="47"/>
      <c r="Q124" s="47"/>
      <c r="R124" s="47"/>
      <c r="S124" s="103"/>
      <c r="T124" s="60"/>
      <c r="U124" s="86"/>
      <c r="V124" s="60"/>
    </row>
    <row r="125" spans="1:22">
      <c r="B125" s="51"/>
      <c r="C125" s="51" t="s">
        <v>154</v>
      </c>
      <c r="D125" s="50"/>
      <c r="E125" s="52"/>
      <c r="F125" s="83" t="s">
        <v>154</v>
      </c>
      <c r="G125" s="273"/>
      <c r="H125" s="273"/>
      <c r="I125" s="282"/>
      <c r="J125" s="55">
        <f t="shared" ref="J125:J132" si="43">G125+H125-I125</f>
        <v>0</v>
      </c>
      <c r="K125" s="273"/>
      <c r="L125" s="55">
        <f t="shared" ref="L125:L132" si="44">J125-K125</f>
        <v>0</v>
      </c>
      <c r="M125" s="56" t="e">
        <f>L125/K125</f>
        <v>#DIV/0!</v>
      </c>
      <c r="N125" s="57" t="e">
        <f t="shared" ref="N125:N132" si="45">G125/$N$12</f>
        <v>#DIV/0!</v>
      </c>
      <c r="O125" s="57" t="e">
        <f t="shared" ref="O125" si="46">G125*12/CurMonths/$O$12</f>
        <v>#DIV/0!</v>
      </c>
      <c r="P125" s="58" t="e">
        <f t="shared" ref="P125:P132" si="47">IF(ABS(O125)&gt;100%,"O","X")</f>
        <v>#DIV/0!</v>
      </c>
      <c r="Q125" s="281"/>
      <c r="R125" s="59" t="e">
        <f t="shared" ref="R125:R132" si="48">IF(P125="O","O",IF(Q125="O","O","X"))</f>
        <v>#DIV/0!</v>
      </c>
      <c r="S125" s="103"/>
      <c r="T125" s="86"/>
      <c r="U125" s="48"/>
      <c r="V125" s="60"/>
    </row>
    <row r="126" spans="1:22">
      <c r="B126" s="51"/>
      <c r="C126" s="51" t="s">
        <v>155</v>
      </c>
      <c r="D126" s="50"/>
      <c r="E126" s="52"/>
      <c r="F126" s="83" t="s">
        <v>155</v>
      </c>
      <c r="G126" s="273"/>
      <c r="H126" s="273"/>
      <c r="I126" s="282"/>
      <c r="J126" s="55">
        <f t="shared" si="43"/>
        <v>0</v>
      </c>
      <c r="K126" s="273"/>
      <c r="L126" s="55">
        <f t="shared" si="44"/>
        <v>0</v>
      </c>
      <c r="M126" s="56" t="e">
        <f>L126/K126</f>
        <v>#DIV/0!</v>
      </c>
      <c r="N126" s="57" t="e">
        <f t="shared" si="45"/>
        <v>#DIV/0!</v>
      </c>
      <c r="O126" s="57" t="e">
        <f t="shared" ref="O126" si="49">G126*12/CurMonths/$O$12</f>
        <v>#DIV/0!</v>
      </c>
      <c r="P126" s="58" t="e">
        <f t="shared" si="47"/>
        <v>#DIV/0!</v>
      </c>
      <c r="Q126" s="281"/>
      <c r="R126" s="59" t="e">
        <f t="shared" si="48"/>
        <v>#DIV/0!</v>
      </c>
      <c r="S126" s="103"/>
      <c r="T126" s="86"/>
      <c r="U126" s="48"/>
      <c r="V126" s="60"/>
    </row>
    <row r="127" spans="1:22">
      <c r="B127" s="51"/>
      <c r="C127" s="51" t="s">
        <v>231</v>
      </c>
      <c r="D127" s="50"/>
      <c r="E127" s="52"/>
      <c r="F127" s="83" t="s">
        <v>231</v>
      </c>
      <c r="G127" s="273"/>
      <c r="H127" s="273"/>
      <c r="I127" s="282"/>
      <c r="J127" s="55">
        <f t="shared" si="43"/>
        <v>0</v>
      </c>
      <c r="K127" s="273"/>
      <c r="L127" s="55">
        <f t="shared" si="44"/>
        <v>0</v>
      </c>
      <c r="M127" s="56" t="e">
        <f>L127/K127</f>
        <v>#DIV/0!</v>
      </c>
      <c r="N127" s="57" t="e">
        <f t="shared" si="45"/>
        <v>#DIV/0!</v>
      </c>
      <c r="O127" s="57" t="e">
        <f t="shared" ref="O127" si="50">G127*12/CurMonths/$O$12</f>
        <v>#DIV/0!</v>
      </c>
      <c r="P127" s="58" t="e">
        <f t="shared" si="47"/>
        <v>#DIV/0!</v>
      </c>
      <c r="Q127" s="281"/>
      <c r="R127" s="59" t="e">
        <f t="shared" si="48"/>
        <v>#DIV/0!</v>
      </c>
      <c r="S127" s="103"/>
      <c r="T127" s="86"/>
      <c r="U127" s="48"/>
      <c r="V127" s="60"/>
    </row>
    <row r="128" spans="1:22">
      <c r="B128" s="51"/>
      <c r="C128" s="51" t="s">
        <v>232</v>
      </c>
      <c r="D128" s="50"/>
      <c r="E128" s="52"/>
      <c r="F128" s="83" t="s">
        <v>232</v>
      </c>
      <c r="G128" s="273"/>
      <c r="H128" s="273"/>
      <c r="I128" s="282"/>
      <c r="J128" s="55">
        <f t="shared" si="43"/>
        <v>0</v>
      </c>
      <c r="K128" s="273"/>
      <c r="L128" s="55">
        <f t="shared" si="44"/>
        <v>0</v>
      </c>
      <c r="M128" s="56" t="e">
        <f>L128/K128</f>
        <v>#DIV/0!</v>
      </c>
      <c r="N128" s="57" t="e">
        <f t="shared" si="45"/>
        <v>#DIV/0!</v>
      </c>
      <c r="O128" s="57" t="e">
        <f t="shared" ref="O128" si="51">G128*12/CurMonths/$O$12</f>
        <v>#DIV/0!</v>
      </c>
      <c r="P128" s="58" t="e">
        <f t="shared" si="47"/>
        <v>#DIV/0!</v>
      </c>
      <c r="Q128" s="281"/>
      <c r="R128" s="59" t="e">
        <f t="shared" si="48"/>
        <v>#DIV/0!</v>
      </c>
      <c r="S128" s="103"/>
      <c r="T128" s="86"/>
      <c r="U128" s="48"/>
      <c r="V128" s="60"/>
    </row>
    <row r="129" spans="2:22">
      <c r="B129" s="51"/>
      <c r="C129" s="51" t="s">
        <v>233</v>
      </c>
      <c r="D129" s="50"/>
      <c r="E129" s="52"/>
      <c r="F129" s="83" t="s">
        <v>233</v>
      </c>
      <c r="G129" s="273"/>
      <c r="H129" s="273"/>
      <c r="I129" s="282"/>
      <c r="J129" s="55">
        <f t="shared" si="43"/>
        <v>0</v>
      </c>
      <c r="K129" s="273"/>
      <c r="L129" s="55">
        <f t="shared" si="44"/>
        <v>0</v>
      </c>
      <c r="M129" s="56" t="e">
        <f>L129/K129</f>
        <v>#DIV/0!</v>
      </c>
      <c r="N129" s="57" t="e">
        <f t="shared" si="45"/>
        <v>#DIV/0!</v>
      </c>
      <c r="O129" s="57" t="e">
        <f t="shared" ref="O129" si="52">G129*12/CurMonths/$O$12</f>
        <v>#DIV/0!</v>
      </c>
      <c r="P129" s="58" t="e">
        <f t="shared" si="47"/>
        <v>#DIV/0!</v>
      </c>
      <c r="Q129" s="281"/>
      <c r="R129" s="59" t="e">
        <f t="shared" si="48"/>
        <v>#DIV/0!</v>
      </c>
      <c r="S129" s="103"/>
      <c r="T129" s="86"/>
      <c r="U129" s="48"/>
      <c r="V129" s="60"/>
    </row>
    <row r="130" spans="2:22">
      <c r="B130" s="51"/>
      <c r="C130" s="51" t="s">
        <v>234</v>
      </c>
      <c r="D130" s="50"/>
      <c r="E130" s="52"/>
      <c r="F130" s="83" t="s">
        <v>234</v>
      </c>
      <c r="G130" s="273"/>
      <c r="H130" s="273"/>
      <c r="I130" s="282"/>
      <c r="J130" s="55">
        <f t="shared" si="43"/>
        <v>0</v>
      </c>
      <c r="K130" s="273"/>
      <c r="L130" s="55">
        <f t="shared" si="44"/>
        <v>0</v>
      </c>
      <c r="M130" s="56" t="e">
        <f>L130/K130</f>
        <v>#DIV/0!</v>
      </c>
      <c r="N130" s="57" t="e">
        <f t="shared" si="45"/>
        <v>#DIV/0!</v>
      </c>
      <c r="O130" s="57" t="e">
        <f t="shared" ref="O130" si="53">G130*12/CurMonths/$O$12</f>
        <v>#DIV/0!</v>
      </c>
      <c r="P130" s="58" t="e">
        <f t="shared" si="47"/>
        <v>#DIV/0!</v>
      </c>
      <c r="Q130" s="281"/>
      <c r="R130" s="59" t="e">
        <f t="shared" si="48"/>
        <v>#DIV/0!</v>
      </c>
      <c r="S130" s="103"/>
      <c r="T130" s="86"/>
      <c r="U130" s="48"/>
      <c r="V130" s="60"/>
    </row>
    <row r="131" spans="2:22">
      <c r="B131" s="51"/>
      <c r="C131" s="51" t="s">
        <v>235</v>
      </c>
      <c r="D131" s="50"/>
      <c r="E131" s="52"/>
      <c r="F131" s="83" t="s">
        <v>235</v>
      </c>
      <c r="G131" s="273"/>
      <c r="H131" s="273"/>
      <c r="I131" s="282"/>
      <c r="J131" s="55">
        <f t="shared" si="43"/>
        <v>0</v>
      </c>
      <c r="K131" s="273"/>
      <c r="L131" s="55">
        <f t="shared" si="44"/>
        <v>0</v>
      </c>
      <c r="M131" s="56" t="e">
        <f>L131/K131</f>
        <v>#DIV/0!</v>
      </c>
      <c r="N131" s="57" t="e">
        <f t="shared" si="45"/>
        <v>#DIV/0!</v>
      </c>
      <c r="O131" s="57" t="e">
        <f t="shared" ref="O131" si="54">G131*12/CurMonths/$O$12</f>
        <v>#DIV/0!</v>
      </c>
      <c r="P131" s="58" t="e">
        <f t="shared" si="47"/>
        <v>#DIV/0!</v>
      </c>
      <c r="Q131" s="281"/>
      <c r="R131" s="59" t="e">
        <f t="shared" si="48"/>
        <v>#DIV/0!</v>
      </c>
      <c r="S131" s="103"/>
      <c r="T131" s="86"/>
      <c r="U131" s="48"/>
      <c r="V131" s="60"/>
    </row>
    <row r="132" spans="2:22">
      <c r="B132" s="51"/>
      <c r="C132" s="51" t="s">
        <v>171</v>
      </c>
      <c r="D132" s="50"/>
      <c r="E132" s="52"/>
      <c r="F132" s="83" t="s">
        <v>171</v>
      </c>
      <c r="G132" s="273"/>
      <c r="H132" s="273"/>
      <c r="I132" s="282"/>
      <c r="J132" s="55">
        <f t="shared" si="43"/>
        <v>0</v>
      </c>
      <c r="K132" s="273"/>
      <c r="L132" s="55">
        <f t="shared" si="44"/>
        <v>0</v>
      </c>
      <c r="M132" s="56" t="e">
        <f>L132/K132</f>
        <v>#DIV/0!</v>
      </c>
      <c r="N132" s="57" t="e">
        <f t="shared" si="45"/>
        <v>#DIV/0!</v>
      </c>
      <c r="O132" s="57" t="e">
        <f t="shared" ref="O132" si="55">G132*12/CurMonths/$O$12</f>
        <v>#DIV/0!</v>
      </c>
      <c r="P132" s="58" t="e">
        <f t="shared" si="47"/>
        <v>#DIV/0!</v>
      </c>
      <c r="Q132" s="281"/>
      <c r="R132" s="59" t="e">
        <f t="shared" si="48"/>
        <v>#DIV/0!</v>
      </c>
      <c r="S132" s="103"/>
      <c r="T132" s="86"/>
      <c r="U132" s="48"/>
      <c r="V132" s="60"/>
    </row>
    <row r="133" spans="2:22">
      <c r="B133" s="260"/>
      <c r="C133" s="260"/>
      <c r="D133" s="50"/>
      <c r="E133" s="45" t="s">
        <v>236</v>
      </c>
      <c r="F133" s="52"/>
      <c r="G133" s="260">
        <f>SUM(G134:G138)</f>
        <v>0</v>
      </c>
      <c r="H133" s="260"/>
      <c r="I133" s="260"/>
      <c r="J133" s="260">
        <f>SUM(J134:J138)</f>
        <v>0</v>
      </c>
      <c r="K133" s="260">
        <f>SUM(K134:K138)</f>
        <v>0</v>
      </c>
      <c r="L133" s="260">
        <f>SUM(L134:L138)</f>
        <v>0</v>
      </c>
      <c r="M133" s="261" t="e">
        <f>L133/K133</f>
        <v>#DIV/0!</v>
      </c>
      <c r="N133" s="47"/>
      <c r="O133" s="47"/>
      <c r="P133" s="47"/>
      <c r="Q133" s="47"/>
      <c r="R133" s="47"/>
      <c r="S133" s="103"/>
      <c r="T133" s="60"/>
      <c r="U133" s="86"/>
      <c r="V133" s="60"/>
    </row>
    <row r="134" spans="2:22">
      <c r="B134" s="51"/>
      <c r="C134" s="51" t="s">
        <v>28</v>
      </c>
      <c r="D134" s="50"/>
      <c r="E134" s="52"/>
      <c r="F134" s="83" t="s">
        <v>28</v>
      </c>
      <c r="G134" s="273"/>
      <c r="H134" s="273"/>
      <c r="I134" s="282"/>
      <c r="J134" s="55">
        <f t="shared" ref="J134:J138" si="56">G134+H134-I134</f>
        <v>0</v>
      </c>
      <c r="K134" s="273"/>
      <c r="L134" s="55">
        <f t="shared" ref="L134:L138" si="57">J134-K134</f>
        <v>0</v>
      </c>
      <c r="M134" s="56" t="e">
        <f>L134/K134</f>
        <v>#DIV/0!</v>
      </c>
      <c r="N134" s="57" t="e">
        <f t="shared" ref="N134:N138" si="58">G134/$N$12</f>
        <v>#DIV/0!</v>
      </c>
      <c r="O134" s="57" t="e">
        <f t="shared" ref="O134" si="59">G134*12/CurMonths/$O$12</f>
        <v>#DIV/0!</v>
      </c>
      <c r="P134" s="58" t="e">
        <f t="shared" ref="P134:P138" si="60">IF(ABS(O134)&gt;100%,"O","X")</f>
        <v>#DIV/0!</v>
      </c>
      <c r="Q134" s="281"/>
      <c r="R134" s="59" t="e">
        <f t="shared" ref="R134:R138" si="61">IF(P134="O","O",IF(Q134="O","O","X"))</f>
        <v>#DIV/0!</v>
      </c>
      <c r="S134" s="103"/>
      <c r="T134" s="86"/>
      <c r="U134" s="48"/>
      <c r="V134" s="60"/>
    </row>
    <row r="135" spans="2:22">
      <c r="B135" s="51"/>
      <c r="C135" s="51" t="s">
        <v>29</v>
      </c>
      <c r="D135" s="50"/>
      <c r="E135" s="52"/>
      <c r="F135" s="83" t="s">
        <v>29</v>
      </c>
      <c r="G135" s="273"/>
      <c r="H135" s="273"/>
      <c r="I135" s="282"/>
      <c r="J135" s="55">
        <f t="shared" si="56"/>
        <v>0</v>
      </c>
      <c r="K135" s="273"/>
      <c r="L135" s="55">
        <f t="shared" si="57"/>
        <v>0</v>
      </c>
      <c r="M135" s="56" t="e">
        <f>L135/K135</f>
        <v>#DIV/0!</v>
      </c>
      <c r="N135" s="57" t="e">
        <f t="shared" si="58"/>
        <v>#DIV/0!</v>
      </c>
      <c r="O135" s="57" t="e">
        <f t="shared" ref="O135" si="62">G135*12/CurMonths/$O$12</f>
        <v>#DIV/0!</v>
      </c>
      <c r="P135" s="58" t="e">
        <f t="shared" si="60"/>
        <v>#DIV/0!</v>
      </c>
      <c r="Q135" s="281"/>
      <c r="R135" s="59" t="e">
        <f t="shared" si="61"/>
        <v>#DIV/0!</v>
      </c>
      <c r="S135" s="103"/>
      <c r="T135" s="86"/>
      <c r="U135" s="48"/>
      <c r="V135" s="60"/>
    </row>
    <row r="136" spans="2:22">
      <c r="B136" s="51"/>
      <c r="C136" s="51" t="s">
        <v>237</v>
      </c>
      <c r="D136" s="50"/>
      <c r="E136" s="52"/>
      <c r="F136" s="83" t="s">
        <v>237</v>
      </c>
      <c r="G136" s="273"/>
      <c r="H136" s="273"/>
      <c r="I136" s="282"/>
      <c r="J136" s="55">
        <f t="shared" si="56"/>
        <v>0</v>
      </c>
      <c r="K136" s="273"/>
      <c r="L136" s="55">
        <f t="shared" si="57"/>
        <v>0</v>
      </c>
      <c r="M136" s="56" t="e">
        <f>L136/K136</f>
        <v>#DIV/0!</v>
      </c>
      <c r="N136" s="57" t="e">
        <f t="shared" si="58"/>
        <v>#DIV/0!</v>
      </c>
      <c r="O136" s="57" t="e">
        <f t="shared" ref="O136" si="63">G136*12/CurMonths/$O$12</f>
        <v>#DIV/0!</v>
      </c>
      <c r="P136" s="58" t="e">
        <f t="shared" si="60"/>
        <v>#DIV/0!</v>
      </c>
      <c r="Q136" s="281"/>
      <c r="R136" s="59" t="e">
        <f t="shared" si="61"/>
        <v>#DIV/0!</v>
      </c>
      <c r="S136" s="103"/>
      <c r="T136" s="86"/>
      <c r="U136" s="48"/>
      <c r="V136" s="60"/>
    </row>
    <row r="137" spans="2:22">
      <c r="B137" s="51"/>
      <c r="C137" s="51" t="s">
        <v>238</v>
      </c>
      <c r="D137" s="50"/>
      <c r="E137" s="52"/>
      <c r="F137" s="83" t="s">
        <v>238</v>
      </c>
      <c r="G137" s="273"/>
      <c r="H137" s="273"/>
      <c r="I137" s="282"/>
      <c r="J137" s="55">
        <f t="shared" si="56"/>
        <v>0</v>
      </c>
      <c r="K137" s="273"/>
      <c r="L137" s="55">
        <f t="shared" si="57"/>
        <v>0</v>
      </c>
      <c r="M137" s="56" t="e">
        <f>L137/K137</f>
        <v>#DIV/0!</v>
      </c>
      <c r="N137" s="57" t="e">
        <f t="shared" si="58"/>
        <v>#DIV/0!</v>
      </c>
      <c r="O137" s="57" t="e">
        <f t="shared" ref="O137" si="64">G137*12/CurMonths/$O$12</f>
        <v>#DIV/0!</v>
      </c>
      <c r="P137" s="58" t="e">
        <f t="shared" si="60"/>
        <v>#DIV/0!</v>
      </c>
      <c r="Q137" s="281"/>
      <c r="R137" s="59" t="e">
        <f t="shared" si="61"/>
        <v>#DIV/0!</v>
      </c>
      <c r="S137" s="103"/>
      <c r="T137" s="86"/>
      <c r="U137" s="48"/>
      <c r="V137" s="60"/>
    </row>
    <row r="138" spans="2:22">
      <c r="B138" s="51"/>
      <c r="C138" s="51" t="s">
        <v>158</v>
      </c>
      <c r="D138" s="50"/>
      <c r="E138" s="52"/>
      <c r="F138" s="83" t="s">
        <v>158</v>
      </c>
      <c r="G138" s="273"/>
      <c r="H138" s="273"/>
      <c r="I138" s="282"/>
      <c r="J138" s="55">
        <f t="shared" si="56"/>
        <v>0</v>
      </c>
      <c r="K138" s="273"/>
      <c r="L138" s="55">
        <f t="shared" si="57"/>
        <v>0</v>
      </c>
      <c r="M138" s="56" t="e">
        <f>L138/K138</f>
        <v>#DIV/0!</v>
      </c>
      <c r="N138" s="57" t="e">
        <f t="shared" si="58"/>
        <v>#DIV/0!</v>
      </c>
      <c r="O138" s="57" t="e">
        <f t="shared" ref="O138" si="65">G138*12/CurMonths/$O$12</f>
        <v>#DIV/0!</v>
      </c>
      <c r="P138" s="58" t="e">
        <f t="shared" si="60"/>
        <v>#DIV/0!</v>
      </c>
      <c r="Q138" s="281"/>
      <c r="R138" s="59" t="e">
        <f t="shared" si="61"/>
        <v>#DIV/0!</v>
      </c>
      <c r="S138" s="103"/>
      <c r="T138" s="86"/>
      <c r="U138" s="48"/>
      <c r="V138" s="60"/>
    </row>
    <row r="139" spans="2:22">
      <c r="B139" s="258"/>
      <c r="C139" s="258"/>
      <c r="D139" s="87" t="s">
        <v>239</v>
      </c>
      <c r="E139" s="88"/>
      <c r="F139" s="88"/>
      <c r="G139" s="258">
        <f>G118-G123</f>
        <v>0</v>
      </c>
      <c r="H139" s="258"/>
      <c r="I139" s="258"/>
      <c r="J139" s="258">
        <f>J118-J123</f>
        <v>0</v>
      </c>
      <c r="K139" s="258">
        <f>K118-K123</f>
        <v>0</v>
      </c>
      <c r="L139" s="258">
        <f>L118-L123</f>
        <v>0</v>
      </c>
      <c r="M139" s="259" t="e">
        <f t="shared" ref="M139" si="66">L139/K139</f>
        <v>#DIV/0!</v>
      </c>
      <c r="N139" s="47"/>
      <c r="O139" s="47"/>
      <c r="P139" s="47"/>
      <c r="Q139" s="47"/>
      <c r="R139" s="47"/>
      <c r="S139" s="251"/>
      <c r="T139" s="226"/>
      <c r="U139" s="48"/>
      <c r="V139" s="60"/>
    </row>
    <row r="140" spans="2:22">
      <c r="B140" s="92"/>
      <c r="C140" s="92"/>
      <c r="D140" s="89"/>
      <c r="E140" s="90" t="s">
        <v>240</v>
      </c>
      <c r="F140" s="91"/>
      <c r="G140" s="92" t="e">
        <f>G139/G118</f>
        <v>#DIV/0!</v>
      </c>
      <c r="H140" s="92"/>
      <c r="I140" s="92"/>
      <c r="J140" s="92" t="e">
        <f>J139/J118</f>
        <v>#DIV/0!</v>
      </c>
      <c r="K140" s="92" t="e">
        <f>K139/K118</f>
        <v>#DIV/0!</v>
      </c>
      <c r="L140" s="92" t="e">
        <f>G140-K140</f>
        <v>#DIV/0!</v>
      </c>
      <c r="M140" s="56"/>
      <c r="N140" s="56"/>
      <c r="O140" s="56"/>
      <c r="P140" s="56"/>
      <c r="Q140" s="56"/>
      <c r="R140" s="56"/>
      <c r="S140" s="85"/>
      <c r="T140" s="60"/>
      <c r="U140" s="48"/>
      <c r="V140" s="60"/>
    </row>
    <row r="141" spans="2:22">
      <c r="B141" s="92"/>
      <c r="C141" s="92"/>
      <c r="D141" s="89"/>
      <c r="E141" s="90" t="s">
        <v>241</v>
      </c>
      <c r="F141" s="91"/>
      <c r="G141" s="92" t="e">
        <f>1-(G133/G119)</f>
        <v>#DIV/0!</v>
      </c>
      <c r="H141" s="92"/>
      <c r="I141" s="92"/>
      <c r="J141" s="92" t="e">
        <f>1-(J133/J119)</f>
        <v>#DIV/0!</v>
      </c>
      <c r="K141" s="92" t="e">
        <f>1-(K133/K119)</f>
        <v>#DIV/0!</v>
      </c>
      <c r="L141" s="92" t="e">
        <f>G141-K141</f>
        <v>#DIV/0!</v>
      </c>
      <c r="M141" s="56"/>
      <c r="N141" s="56"/>
      <c r="O141" s="56"/>
      <c r="P141" s="56"/>
      <c r="Q141" s="56"/>
      <c r="R141" s="56"/>
      <c r="S141" s="85"/>
      <c r="T141" s="60"/>
      <c r="U141" s="48"/>
      <c r="V141" s="60"/>
    </row>
    <row r="142" spans="2:22">
      <c r="B142" s="92"/>
      <c r="C142" s="92"/>
      <c r="D142" s="89"/>
      <c r="E142" s="90" t="s">
        <v>242</v>
      </c>
      <c r="F142" s="91"/>
      <c r="G142" s="92" t="e">
        <f>1-(G124/G120)</f>
        <v>#DIV/0!</v>
      </c>
      <c r="H142" s="92"/>
      <c r="I142" s="92"/>
      <c r="J142" s="92" t="e">
        <f>1-(J124/J120)</f>
        <v>#DIV/0!</v>
      </c>
      <c r="K142" s="92" t="e">
        <f>1-(K124/K120)</f>
        <v>#DIV/0!</v>
      </c>
      <c r="L142" s="92" t="e">
        <f>G142-K142</f>
        <v>#DIV/0!</v>
      </c>
      <c r="M142" s="56"/>
      <c r="N142" s="56"/>
      <c r="O142" s="56"/>
      <c r="P142" s="56"/>
      <c r="Q142" s="56"/>
      <c r="R142" s="56"/>
      <c r="S142" s="85"/>
      <c r="T142" s="60"/>
      <c r="U142" s="48"/>
      <c r="V142" s="60"/>
    </row>
    <row r="143" spans="2:22">
      <c r="B143" s="258"/>
      <c r="C143" s="258"/>
      <c r="D143" s="44" t="s">
        <v>243</v>
      </c>
      <c r="E143" s="45"/>
      <c r="F143" s="45"/>
      <c r="G143" s="258">
        <f>G144+G150</f>
        <v>0</v>
      </c>
      <c r="H143" s="258"/>
      <c r="I143" s="258"/>
      <c r="J143" s="258">
        <f>J144+J150</f>
        <v>0</v>
      </c>
      <c r="K143" s="258">
        <f>K144+K150</f>
        <v>0</v>
      </c>
      <c r="L143" s="258">
        <f>L144+L150</f>
        <v>0</v>
      </c>
      <c r="M143" s="259" t="e">
        <f t="shared" ref="M143" si="67">L143/K143</f>
        <v>#DIV/0!</v>
      </c>
      <c r="N143" s="47"/>
      <c r="O143" s="47"/>
      <c r="P143" s="47"/>
      <c r="Q143" s="47"/>
      <c r="R143" s="47"/>
      <c r="S143" s="81"/>
      <c r="T143" s="48"/>
      <c r="U143" s="79"/>
      <c r="V143" s="80"/>
    </row>
    <row r="144" spans="2:22">
      <c r="B144" s="260"/>
      <c r="C144" s="260"/>
      <c r="D144" s="50"/>
      <c r="E144" s="45" t="s">
        <v>244</v>
      </c>
      <c r="F144" s="52"/>
      <c r="G144" s="260">
        <f>SUM(G145:G149)</f>
        <v>0</v>
      </c>
      <c r="H144" s="260"/>
      <c r="I144" s="260"/>
      <c r="J144" s="260">
        <f>SUM(J145:J149)</f>
        <v>0</v>
      </c>
      <c r="K144" s="260">
        <f>SUM(K145:K149)</f>
        <v>0</v>
      </c>
      <c r="L144" s="260">
        <f>SUM(L145:L149)</f>
        <v>0</v>
      </c>
      <c r="M144" s="261" t="e">
        <f>L144/K144</f>
        <v>#DIV/0!</v>
      </c>
      <c r="N144" s="47"/>
      <c r="O144" s="47"/>
      <c r="P144" s="47"/>
      <c r="Q144" s="47"/>
      <c r="R144" s="47"/>
      <c r="S144" s="103"/>
      <c r="T144" s="60"/>
      <c r="U144" s="86"/>
      <c r="V144" s="60"/>
    </row>
    <row r="145" spans="2:22">
      <c r="B145" s="51"/>
      <c r="C145" s="51" t="s">
        <v>109</v>
      </c>
      <c r="D145" s="50"/>
      <c r="E145" s="52"/>
      <c r="F145" s="83" t="s">
        <v>109</v>
      </c>
      <c r="G145" s="273"/>
      <c r="H145" s="273"/>
      <c r="I145" s="282"/>
      <c r="J145" s="55">
        <f t="shared" ref="J145:J149" si="68">G145+H145-I145</f>
        <v>0</v>
      </c>
      <c r="K145" s="273"/>
      <c r="L145" s="55">
        <f t="shared" ref="L145:L149" si="69">J145-K145</f>
        <v>0</v>
      </c>
      <c r="M145" s="56" t="e">
        <f>L145/K145</f>
        <v>#DIV/0!</v>
      </c>
      <c r="N145" s="57" t="e">
        <f t="shared" ref="N145:N149" si="70">G145/$N$12</f>
        <v>#DIV/0!</v>
      </c>
      <c r="O145" s="57" t="e">
        <f t="shared" ref="O145" si="71">G145*12/CurMonths/$O$12</f>
        <v>#DIV/0!</v>
      </c>
      <c r="P145" s="58" t="e">
        <f t="shared" ref="P145:P149" si="72">IF(ABS(O145)&gt;100%,"O","X")</f>
        <v>#DIV/0!</v>
      </c>
      <c r="Q145" s="281"/>
      <c r="R145" s="59" t="e">
        <f t="shared" ref="R145:R149" si="73">IF(P145="O","O",IF(Q145="O","O","X"))</f>
        <v>#DIV/0!</v>
      </c>
      <c r="S145" s="103"/>
      <c r="T145" s="86"/>
      <c r="U145" s="48"/>
      <c r="V145" s="60"/>
    </row>
    <row r="146" spans="2:22">
      <c r="B146" s="51"/>
      <c r="C146" s="51" t="s">
        <v>159</v>
      </c>
      <c r="D146" s="50"/>
      <c r="E146" s="52"/>
      <c r="F146" s="83" t="s">
        <v>159</v>
      </c>
      <c r="G146" s="273"/>
      <c r="H146" s="273"/>
      <c r="I146" s="282"/>
      <c r="J146" s="55">
        <f t="shared" si="68"/>
        <v>0</v>
      </c>
      <c r="K146" s="273"/>
      <c r="L146" s="55">
        <f t="shared" si="69"/>
        <v>0</v>
      </c>
      <c r="M146" s="56" t="e">
        <f>L146/K146</f>
        <v>#DIV/0!</v>
      </c>
      <c r="N146" s="57" t="e">
        <f t="shared" si="70"/>
        <v>#DIV/0!</v>
      </c>
      <c r="O146" s="57" t="e">
        <f t="shared" ref="O146" si="74">G146*12/CurMonths/$O$12</f>
        <v>#DIV/0!</v>
      </c>
      <c r="P146" s="58" t="e">
        <f t="shared" si="72"/>
        <v>#DIV/0!</v>
      </c>
      <c r="Q146" s="281"/>
      <c r="R146" s="59" t="e">
        <f t="shared" si="73"/>
        <v>#DIV/0!</v>
      </c>
      <c r="S146" s="103"/>
      <c r="T146" s="86"/>
      <c r="U146" s="48"/>
      <c r="V146" s="60"/>
    </row>
    <row r="147" spans="2:22">
      <c r="B147" s="51"/>
      <c r="C147" s="51" t="s">
        <v>160</v>
      </c>
      <c r="D147" s="50"/>
      <c r="E147" s="52"/>
      <c r="F147" s="83" t="s">
        <v>160</v>
      </c>
      <c r="G147" s="273"/>
      <c r="H147" s="273"/>
      <c r="I147" s="282"/>
      <c r="J147" s="55">
        <f t="shared" si="68"/>
        <v>0</v>
      </c>
      <c r="K147" s="273"/>
      <c r="L147" s="55">
        <f t="shared" si="69"/>
        <v>0</v>
      </c>
      <c r="M147" s="56" t="e">
        <f>L147/K147</f>
        <v>#DIV/0!</v>
      </c>
      <c r="N147" s="57" t="e">
        <f t="shared" si="70"/>
        <v>#DIV/0!</v>
      </c>
      <c r="O147" s="57" t="e">
        <f t="shared" ref="O147" si="75">G147*12/CurMonths/$O$12</f>
        <v>#DIV/0!</v>
      </c>
      <c r="P147" s="58" t="e">
        <f t="shared" si="72"/>
        <v>#DIV/0!</v>
      </c>
      <c r="Q147" s="281"/>
      <c r="R147" s="59" t="e">
        <f t="shared" si="73"/>
        <v>#DIV/0!</v>
      </c>
      <c r="S147" s="103"/>
      <c r="T147" s="86"/>
      <c r="U147" s="48"/>
      <c r="V147" s="60"/>
    </row>
    <row r="148" spans="2:22">
      <c r="B148" s="51"/>
      <c r="C148" s="51" t="s">
        <v>245</v>
      </c>
      <c r="D148" s="50"/>
      <c r="E148" s="52"/>
      <c r="F148" s="83" t="s">
        <v>245</v>
      </c>
      <c r="G148" s="273"/>
      <c r="H148" s="273"/>
      <c r="I148" s="282"/>
      <c r="J148" s="55">
        <f t="shared" si="68"/>
        <v>0</v>
      </c>
      <c r="K148" s="273"/>
      <c r="L148" s="55">
        <f t="shared" si="69"/>
        <v>0</v>
      </c>
      <c r="M148" s="56" t="e">
        <f>L148/K148</f>
        <v>#DIV/0!</v>
      </c>
      <c r="N148" s="57" t="e">
        <f t="shared" si="70"/>
        <v>#DIV/0!</v>
      </c>
      <c r="O148" s="57" t="e">
        <f t="shared" ref="O148" si="76">G148*12/CurMonths/$O$12</f>
        <v>#DIV/0!</v>
      </c>
      <c r="P148" s="58" t="e">
        <f t="shared" si="72"/>
        <v>#DIV/0!</v>
      </c>
      <c r="Q148" s="281"/>
      <c r="R148" s="59" t="e">
        <f t="shared" si="73"/>
        <v>#DIV/0!</v>
      </c>
      <c r="S148" s="103"/>
      <c r="T148" s="86"/>
      <c r="U148" s="48"/>
      <c r="V148" s="60"/>
    </row>
    <row r="149" spans="2:22">
      <c r="B149" s="51"/>
      <c r="C149" s="51" t="s">
        <v>51</v>
      </c>
      <c r="D149" s="50"/>
      <c r="E149" s="52"/>
      <c r="F149" s="83" t="s">
        <v>51</v>
      </c>
      <c r="G149" s="273"/>
      <c r="H149" s="273"/>
      <c r="I149" s="282"/>
      <c r="J149" s="55">
        <f t="shared" si="68"/>
        <v>0</v>
      </c>
      <c r="K149" s="273"/>
      <c r="L149" s="55">
        <f t="shared" si="69"/>
        <v>0</v>
      </c>
      <c r="M149" s="56" t="e">
        <f>L149/K149</f>
        <v>#DIV/0!</v>
      </c>
      <c r="N149" s="57" t="e">
        <f t="shared" si="70"/>
        <v>#DIV/0!</v>
      </c>
      <c r="O149" s="57" t="e">
        <f t="shared" ref="O149" si="77">G149*12/CurMonths/$O$12</f>
        <v>#DIV/0!</v>
      </c>
      <c r="P149" s="58" t="e">
        <f t="shared" si="72"/>
        <v>#DIV/0!</v>
      </c>
      <c r="Q149" s="281"/>
      <c r="R149" s="59" t="e">
        <f t="shared" si="73"/>
        <v>#DIV/0!</v>
      </c>
      <c r="S149" s="103"/>
      <c r="T149" s="86"/>
      <c r="U149" s="48"/>
      <c r="V149" s="60"/>
    </row>
    <row r="150" spans="2:22">
      <c r="B150" s="260"/>
      <c r="C150" s="260"/>
      <c r="D150" s="50"/>
      <c r="E150" s="45" t="s">
        <v>246</v>
      </c>
      <c r="F150" s="52"/>
      <c r="G150" s="260">
        <f>SUM(G151:G171)</f>
        <v>0</v>
      </c>
      <c r="H150" s="260"/>
      <c r="I150" s="260"/>
      <c r="J150" s="260">
        <f>SUM(J151:J171)</f>
        <v>0</v>
      </c>
      <c r="K150" s="260">
        <f>SUM(K151:K171)</f>
        <v>0</v>
      </c>
      <c r="L150" s="260">
        <f>SUM(L151:L171)</f>
        <v>0</v>
      </c>
      <c r="M150" s="261" t="e">
        <f>L150/K150</f>
        <v>#DIV/0!</v>
      </c>
      <c r="N150" s="47"/>
      <c r="O150" s="47"/>
      <c r="P150" s="47"/>
      <c r="Q150" s="47"/>
      <c r="R150" s="47"/>
      <c r="S150" s="103"/>
      <c r="T150" s="60"/>
      <c r="U150" s="86"/>
      <c r="V150" s="60"/>
    </row>
    <row r="151" spans="2:22">
      <c r="B151" s="51"/>
      <c r="C151" s="51" t="s">
        <v>39</v>
      </c>
      <c r="D151" s="50"/>
      <c r="E151" s="52"/>
      <c r="F151" s="83" t="s">
        <v>39</v>
      </c>
      <c r="G151" s="273"/>
      <c r="H151" s="273"/>
      <c r="I151" s="282"/>
      <c r="J151" s="55">
        <f t="shared" ref="J151:J171" si="78">G151+H151-I151</f>
        <v>0</v>
      </c>
      <c r="K151" s="273"/>
      <c r="L151" s="55">
        <f t="shared" ref="L151:L171" si="79">J151-K151</f>
        <v>0</v>
      </c>
      <c r="M151" s="56" t="e">
        <f>L151/K151</f>
        <v>#DIV/0!</v>
      </c>
      <c r="N151" s="57" t="e">
        <f t="shared" ref="N151:N171" si="80">G151/$N$12</f>
        <v>#DIV/0!</v>
      </c>
      <c r="O151" s="57" t="e">
        <f t="shared" ref="O151" si="81">G151*12/CurMonths/$O$12</f>
        <v>#DIV/0!</v>
      </c>
      <c r="P151" s="58" t="e">
        <f t="shared" ref="P151:P171" si="82">IF(ABS(O151)&gt;100%,"O","X")</f>
        <v>#DIV/0!</v>
      </c>
      <c r="Q151" s="281"/>
      <c r="R151" s="59" t="e">
        <f t="shared" ref="R151:R171" si="83">IF(P151="O","O",IF(Q151="O","O","X"))</f>
        <v>#DIV/0!</v>
      </c>
      <c r="S151" s="103"/>
      <c r="T151" s="86"/>
      <c r="U151" s="48"/>
      <c r="V151" s="60"/>
    </row>
    <row r="152" spans="2:22">
      <c r="B152" s="51"/>
      <c r="C152" s="51" t="s">
        <v>30</v>
      </c>
      <c r="D152" s="50"/>
      <c r="E152" s="52"/>
      <c r="F152" s="83" t="s">
        <v>30</v>
      </c>
      <c r="G152" s="273"/>
      <c r="H152" s="273"/>
      <c r="I152" s="282"/>
      <c r="J152" s="55">
        <f t="shared" si="78"/>
        <v>0</v>
      </c>
      <c r="K152" s="273"/>
      <c r="L152" s="55">
        <f t="shared" si="79"/>
        <v>0</v>
      </c>
      <c r="M152" s="56" t="e">
        <f>L152/K152</f>
        <v>#DIV/0!</v>
      </c>
      <c r="N152" s="57" t="e">
        <f t="shared" si="80"/>
        <v>#DIV/0!</v>
      </c>
      <c r="O152" s="57" t="e">
        <f t="shared" ref="O152" si="84">G152*12/CurMonths/$O$12</f>
        <v>#DIV/0!</v>
      </c>
      <c r="P152" s="58" t="e">
        <f t="shared" si="82"/>
        <v>#DIV/0!</v>
      </c>
      <c r="Q152" s="281"/>
      <c r="R152" s="59" t="e">
        <f t="shared" si="83"/>
        <v>#DIV/0!</v>
      </c>
      <c r="S152" s="103"/>
      <c r="T152" s="86"/>
      <c r="U152" s="48"/>
      <c r="V152" s="60"/>
    </row>
    <row r="153" spans="2:22">
      <c r="B153" s="51"/>
      <c r="C153" s="51" t="s">
        <v>247</v>
      </c>
      <c r="D153" s="50"/>
      <c r="E153" s="52"/>
      <c r="F153" s="83" t="s">
        <v>247</v>
      </c>
      <c r="G153" s="273"/>
      <c r="H153" s="273"/>
      <c r="I153" s="282"/>
      <c r="J153" s="55">
        <f t="shared" si="78"/>
        <v>0</v>
      </c>
      <c r="K153" s="273"/>
      <c r="L153" s="55">
        <f t="shared" si="79"/>
        <v>0</v>
      </c>
      <c r="M153" s="56" t="e">
        <f>L153/K153</f>
        <v>#DIV/0!</v>
      </c>
      <c r="N153" s="57" t="e">
        <f t="shared" si="80"/>
        <v>#DIV/0!</v>
      </c>
      <c r="O153" s="57" t="e">
        <f t="shared" ref="O153" si="85">G153*12/CurMonths/$O$12</f>
        <v>#DIV/0!</v>
      </c>
      <c r="P153" s="58" t="e">
        <f t="shared" si="82"/>
        <v>#DIV/0!</v>
      </c>
      <c r="Q153" s="281"/>
      <c r="R153" s="59" t="e">
        <f t="shared" si="83"/>
        <v>#DIV/0!</v>
      </c>
      <c r="S153" s="103"/>
      <c r="T153" s="86"/>
      <c r="U153" s="48"/>
      <c r="V153" s="60"/>
    </row>
    <row r="154" spans="2:22">
      <c r="B154" s="51"/>
      <c r="C154" s="51" t="s">
        <v>32</v>
      </c>
      <c r="D154" s="50"/>
      <c r="E154" s="52"/>
      <c r="F154" s="83" t="s">
        <v>32</v>
      </c>
      <c r="G154" s="273"/>
      <c r="H154" s="273"/>
      <c r="I154" s="282"/>
      <c r="J154" s="55">
        <f t="shared" si="78"/>
        <v>0</v>
      </c>
      <c r="K154" s="273"/>
      <c r="L154" s="55">
        <f t="shared" si="79"/>
        <v>0</v>
      </c>
      <c r="M154" s="56" t="e">
        <f>L154/K154</f>
        <v>#DIV/0!</v>
      </c>
      <c r="N154" s="57" t="e">
        <f t="shared" si="80"/>
        <v>#DIV/0!</v>
      </c>
      <c r="O154" s="57" t="e">
        <f t="shared" ref="O154" si="86">G154*12/CurMonths/$O$12</f>
        <v>#DIV/0!</v>
      </c>
      <c r="P154" s="58" t="e">
        <f t="shared" si="82"/>
        <v>#DIV/0!</v>
      </c>
      <c r="Q154" s="281"/>
      <c r="R154" s="59" t="e">
        <f t="shared" si="83"/>
        <v>#DIV/0!</v>
      </c>
      <c r="S154" s="103"/>
      <c r="T154" s="86"/>
      <c r="U154" s="48"/>
      <c r="V154" s="60"/>
    </row>
    <row r="155" spans="2:22">
      <c r="B155" s="51"/>
      <c r="C155" s="51" t="s">
        <v>60</v>
      </c>
      <c r="D155" s="50"/>
      <c r="E155" s="52"/>
      <c r="F155" s="83" t="s">
        <v>60</v>
      </c>
      <c r="G155" s="273"/>
      <c r="H155" s="273"/>
      <c r="I155" s="282"/>
      <c r="J155" s="55">
        <f t="shared" si="78"/>
        <v>0</v>
      </c>
      <c r="K155" s="273"/>
      <c r="L155" s="55">
        <f t="shared" si="79"/>
        <v>0</v>
      </c>
      <c r="M155" s="56" t="e">
        <f>L155/K155</f>
        <v>#DIV/0!</v>
      </c>
      <c r="N155" s="57" t="e">
        <f t="shared" si="80"/>
        <v>#DIV/0!</v>
      </c>
      <c r="O155" s="57" t="e">
        <f t="shared" ref="O155" si="87">G155*12/CurMonths/$O$12</f>
        <v>#DIV/0!</v>
      </c>
      <c r="P155" s="58" t="e">
        <f t="shared" si="82"/>
        <v>#DIV/0!</v>
      </c>
      <c r="Q155" s="281"/>
      <c r="R155" s="59" t="e">
        <f t="shared" si="83"/>
        <v>#DIV/0!</v>
      </c>
      <c r="S155" s="103"/>
      <c r="T155" s="86"/>
      <c r="U155" s="48"/>
      <c r="V155" s="60"/>
    </row>
    <row r="156" spans="2:22">
      <c r="B156" s="51"/>
      <c r="C156" s="51" t="s">
        <v>161</v>
      </c>
      <c r="D156" s="50"/>
      <c r="E156" s="52"/>
      <c r="F156" s="83" t="s">
        <v>161</v>
      </c>
      <c r="G156" s="273"/>
      <c r="H156" s="273"/>
      <c r="I156" s="282"/>
      <c r="J156" s="55">
        <f t="shared" si="78"/>
        <v>0</v>
      </c>
      <c r="K156" s="273"/>
      <c r="L156" s="55">
        <f t="shared" si="79"/>
        <v>0</v>
      </c>
      <c r="M156" s="56" t="e">
        <f>L156/K156</f>
        <v>#DIV/0!</v>
      </c>
      <c r="N156" s="57" t="e">
        <f t="shared" si="80"/>
        <v>#DIV/0!</v>
      </c>
      <c r="O156" s="57" t="e">
        <f t="shared" ref="O156" si="88">G156*12/CurMonths/$O$12</f>
        <v>#DIV/0!</v>
      </c>
      <c r="P156" s="58" t="e">
        <f t="shared" si="82"/>
        <v>#DIV/0!</v>
      </c>
      <c r="Q156" s="281"/>
      <c r="R156" s="59" t="e">
        <f t="shared" si="83"/>
        <v>#DIV/0!</v>
      </c>
      <c r="S156" s="103"/>
      <c r="T156" s="86"/>
      <c r="U156" s="48"/>
      <c r="V156" s="60"/>
    </row>
    <row r="157" spans="2:22">
      <c r="B157" s="51"/>
      <c r="C157" s="51" t="s">
        <v>52</v>
      </c>
      <c r="D157" s="50"/>
      <c r="E157" s="52"/>
      <c r="F157" s="83" t="s">
        <v>52</v>
      </c>
      <c r="G157" s="273"/>
      <c r="H157" s="273"/>
      <c r="I157" s="282"/>
      <c r="J157" s="55">
        <f t="shared" si="78"/>
        <v>0</v>
      </c>
      <c r="K157" s="273"/>
      <c r="L157" s="55">
        <f t="shared" si="79"/>
        <v>0</v>
      </c>
      <c r="M157" s="56" t="e">
        <f>L157/K157</f>
        <v>#DIV/0!</v>
      </c>
      <c r="N157" s="57" t="e">
        <f t="shared" si="80"/>
        <v>#DIV/0!</v>
      </c>
      <c r="O157" s="57" t="e">
        <f t="shared" ref="O157" si="89">G157*12/CurMonths/$O$12</f>
        <v>#DIV/0!</v>
      </c>
      <c r="P157" s="58" t="e">
        <f t="shared" si="82"/>
        <v>#DIV/0!</v>
      </c>
      <c r="Q157" s="281"/>
      <c r="R157" s="59" t="e">
        <f t="shared" si="83"/>
        <v>#DIV/0!</v>
      </c>
      <c r="S157" s="103"/>
      <c r="T157" s="86"/>
      <c r="U157" s="48"/>
      <c r="V157" s="60"/>
    </row>
    <row r="158" spans="2:22">
      <c r="B158" s="51"/>
      <c r="C158" s="51" t="s">
        <v>88</v>
      </c>
      <c r="D158" s="50"/>
      <c r="E158" s="52"/>
      <c r="F158" s="83" t="s">
        <v>88</v>
      </c>
      <c r="G158" s="273"/>
      <c r="H158" s="273"/>
      <c r="I158" s="282"/>
      <c r="J158" s="55">
        <f t="shared" si="78"/>
        <v>0</v>
      </c>
      <c r="K158" s="273"/>
      <c r="L158" s="55">
        <f t="shared" si="79"/>
        <v>0</v>
      </c>
      <c r="M158" s="56" t="e">
        <f>L158/K158</f>
        <v>#DIV/0!</v>
      </c>
      <c r="N158" s="57" t="e">
        <f t="shared" si="80"/>
        <v>#DIV/0!</v>
      </c>
      <c r="O158" s="57" t="e">
        <f t="shared" ref="O158" si="90">G158*12/CurMonths/$O$12</f>
        <v>#DIV/0!</v>
      </c>
      <c r="P158" s="58" t="e">
        <f t="shared" si="82"/>
        <v>#DIV/0!</v>
      </c>
      <c r="Q158" s="281"/>
      <c r="R158" s="59" t="e">
        <f t="shared" si="83"/>
        <v>#DIV/0!</v>
      </c>
      <c r="S158" s="103"/>
      <c r="T158" s="86"/>
      <c r="U158" s="48"/>
      <c r="V158" s="60"/>
    </row>
    <row r="159" spans="2:22">
      <c r="B159" s="51"/>
      <c r="C159" s="51" t="s">
        <v>33</v>
      </c>
      <c r="D159" s="50"/>
      <c r="E159" s="52"/>
      <c r="F159" s="83" t="s">
        <v>33</v>
      </c>
      <c r="G159" s="273"/>
      <c r="H159" s="273"/>
      <c r="I159" s="282"/>
      <c r="J159" s="55">
        <f t="shared" si="78"/>
        <v>0</v>
      </c>
      <c r="K159" s="273"/>
      <c r="L159" s="55">
        <f t="shared" si="79"/>
        <v>0</v>
      </c>
      <c r="M159" s="56" t="e">
        <f>L159/K159</f>
        <v>#DIV/0!</v>
      </c>
      <c r="N159" s="57" t="e">
        <f t="shared" si="80"/>
        <v>#DIV/0!</v>
      </c>
      <c r="O159" s="57" t="e">
        <f t="shared" ref="O159" si="91">G159*12/CurMonths/$O$12</f>
        <v>#DIV/0!</v>
      </c>
      <c r="P159" s="58" t="e">
        <f t="shared" si="82"/>
        <v>#DIV/0!</v>
      </c>
      <c r="Q159" s="281"/>
      <c r="R159" s="59" t="e">
        <f t="shared" si="83"/>
        <v>#DIV/0!</v>
      </c>
      <c r="S159" s="103"/>
      <c r="T159" s="86"/>
      <c r="U159" s="48"/>
      <c r="V159" s="60"/>
    </row>
    <row r="160" spans="2:22">
      <c r="B160" s="51"/>
      <c r="C160" s="51" t="s">
        <v>34</v>
      </c>
      <c r="D160" s="50"/>
      <c r="E160" s="52"/>
      <c r="F160" s="83" t="s">
        <v>34</v>
      </c>
      <c r="G160" s="273"/>
      <c r="H160" s="273"/>
      <c r="I160" s="282"/>
      <c r="J160" s="55">
        <f t="shared" si="78"/>
        <v>0</v>
      </c>
      <c r="K160" s="273"/>
      <c r="L160" s="55">
        <f t="shared" si="79"/>
        <v>0</v>
      </c>
      <c r="M160" s="56" t="e">
        <f>L160/K160</f>
        <v>#DIV/0!</v>
      </c>
      <c r="N160" s="57" t="e">
        <f t="shared" si="80"/>
        <v>#DIV/0!</v>
      </c>
      <c r="O160" s="57" t="e">
        <f t="shared" ref="O160" si="92">G160*12/CurMonths/$O$12</f>
        <v>#DIV/0!</v>
      </c>
      <c r="P160" s="58" t="e">
        <f t="shared" si="82"/>
        <v>#DIV/0!</v>
      </c>
      <c r="Q160" s="281"/>
      <c r="R160" s="59" t="e">
        <f t="shared" si="83"/>
        <v>#DIV/0!</v>
      </c>
      <c r="S160" s="103"/>
      <c r="T160" s="86"/>
      <c r="U160" s="48"/>
      <c r="V160" s="60"/>
    </row>
    <row r="161" spans="2:22">
      <c r="B161" s="51"/>
      <c r="C161" s="51" t="s">
        <v>41</v>
      </c>
      <c r="D161" s="50"/>
      <c r="E161" s="52"/>
      <c r="F161" s="83" t="s">
        <v>41</v>
      </c>
      <c r="G161" s="273"/>
      <c r="H161" s="273"/>
      <c r="I161" s="282"/>
      <c r="J161" s="55">
        <f t="shared" si="78"/>
        <v>0</v>
      </c>
      <c r="K161" s="273"/>
      <c r="L161" s="55">
        <f t="shared" si="79"/>
        <v>0</v>
      </c>
      <c r="M161" s="56" t="e">
        <f>L161/K161</f>
        <v>#DIV/0!</v>
      </c>
      <c r="N161" s="57" t="e">
        <f t="shared" si="80"/>
        <v>#DIV/0!</v>
      </c>
      <c r="O161" s="57" t="e">
        <f t="shared" ref="O161" si="93">G161*12/CurMonths/$O$12</f>
        <v>#DIV/0!</v>
      </c>
      <c r="P161" s="58" t="e">
        <f t="shared" si="82"/>
        <v>#DIV/0!</v>
      </c>
      <c r="Q161" s="281"/>
      <c r="R161" s="59" t="e">
        <f t="shared" si="83"/>
        <v>#DIV/0!</v>
      </c>
      <c r="S161" s="103"/>
      <c r="T161" s="86"/>
      <c r="U161" s="48"/>
      <c r="V161" s="60"/>
    </row>
    <row r="162" spans="2:22">
      <c r="B162" s="51"/>
      <c r="C162" s="51" t="s">
        <v>42</v>
      </c>
      <c r="D162" s="50"/>
      <c r="E162" s="52"/>
      <c r="F162" s="83" t="s">
        <v>42</v>
      </c>
      <c r="G162" s="273"/>
      <c r="H162" s="273"/>
      <c r="I162" s="282"/>
      <c r="J162" s="55">
        <f t="shared" si="78"/>
        <v>0</v>
      </c>
      <c r="K162" s="273"/>
      <c r="L162" s="55">
        <f t="shared" si="79"/>
        <v>0</v>
      </c>
      <c r="M162" s="56" t="e">
        <f>L162/K162</f>
        <v>#DIV/0!</v>
      </c>
      <c r="N162" s="57" t="e">
        <f t="shared" si="80"/>
        <v>#DIV/0!</v>
      </c>
      <c r="O162" s="57" t="e">
        <f t="shared" ref="O162" si="94">G162*12/CurMonths/$O$12</f>
        <v>#DIV/0!</v>
      </c>
      <c r="P162" s="58" t="e">
        <f t="shared" si="82"/>
        <v>#DIV/0!</v>
      </c>
      <c r="Q162" s="281"/>
      <c r="R162" s="59" t="e">
        <f t="shared" si="83"/>
        <v>#DIV/0!</v>
      </c>
      <c r="S162" s="103"/>
      <c r="T162" s="86"/>
      <c r="U162" s="48"/>
      <c r="V162" s="60"/>
    </row>
    <row r="163" spans="2:22">
      <c r="B163" s="51"/>
      <c r="C163" s="51" t="s">
        <v>35</v>
      </c>
      <c r="D163" s="50"/>
      <c r="E163" s="52"/>
      <c r="F163" s="83" t="s">
        <v>35</v>
      </c>
      <c r="G163" s="273"/>
      <c r="H163" s="273"/>
      <c r="I163" s="282"/>
      <c r="J163" s="55">
        <f t="shared" si="78"/>
        <v>0</v>
      </c>
      <c r="K163" s="273"/>
      <c r="L163" s="55">
        <f t="shared" si="79"/>
        <v>0</v>
      </c>
      <c r="M163" s="56" t="e">
        <f>L163/K163</f>
        <v>#DIV/0!</v>
      </c>
      <c r="N163" s="57" t="e">
        <f t="shared" si="80"/>
        <v>#DIV/0!</v>
      </c>
      <c r="O163" s="57" t="e">
        <f t="shared" ref="O163" si="95">G163*12/CurMonths/$O$12</f>
        <v>#DIV/0!</v>
      </c>
      <c r="P163" s="58" t="e">
        <f t="shared" si="82"/>
        <v>#DIV/0!</v>
      </c>
      <c r="Q163" s="281"/>
      <c r="R163" s="59" t="e">
        <f t="shared" si="83"/>
        <v>#DIV/0!</v>
      </c>
      <c r="S163" s="103"/>
      <c r="T163" s="86"/>
      <c r="U163" s="48"/>
      <c r="V163" s="60"/>
    </row>
    <row r="164" spans="2:22">
      <c r="B164" s="51"/>
      <c r="C164" s="51" t="s">
        <v>40</v>
      </c>
      <c r="D164" s="50"/>
      <c r="E164" s="52"/>
      <c r="F164" s="83" t="s">
        <v>40</v>
      </c>
      <c r="G164" s="273"/>
      <c r="H164" s="273"/>
      <c r="I164" s="282"/>
      <c r="J164" s="55">
        <f t="shared" si="78"/>
        <v>0</v>
      </c>
      <c r="K164" s="273"/>
      <c r="L164" s="55">
        <f t="shared" si="79"/>
        <v>0</v>
      </c>
      <c r="M164" s="56" t="e">
        <f>L164/K164</f>
        <v>#DIV/0!</v>
      </c>
      <c r="N164" s="57" t="e">
        <f t="shared" si="80"/>
        <v>#DIV/0!</v>
      </c>
      <c r="O164" s="57" t="e">
        <f t="shared" ref="O164" si="96">G164*12/CurMonths/$O$12</f>
        <v>#DIV/0!</v>
      </c>
      <c r="P164" s="58" t="e">
        <f t="shared" si="82"/>
        <v>#DIV/0!</v>
      </c>
      <c r="Q164" s="281"/>
      <c r="R164" s="59" t="e">
        <f t="shared" si="83"/>
        <v>#DIV/0!</v>
      </c>
      <c r="S164" s="103"/>
      <c r="T164" s="86"/>
      <c r="U164" s="48"/>
      <c r="V164" s="60"/>
    </row>
    <row r="165" spans="2:22">
      <c r="B165" s="51"/>
      <c r="C165" s="51" t="s">
        <v>37</v>
      </c>
      <c r="D165" s="50"/>
      <c r="E165" s="52"/>
      <c r="F165" s="83" t="s">
        <v>37</v>
      </c>
      <c r="G165" s="273"/>
      <c r="H165" s="273"/>
      <c r="I165" s="282"/>
      <c r="J165" s="55">
        <f t="shared" si="78"/>
        <v>0</v>
      </c>
      <c r="K165" s="273"/>
      <c r="L165" s="55">
        <f t="shared" si="79"/>
        <v>0</v>
      </c>
      <c r="M165" s="56" t="e">
        <f>L165/K165</f>
        <v>#DIV/0!</v>
      </c>
      <c r="N165" s="57" t="e">
        <f t="shared" si="80"/>
        <v>#DIV/0!</v>
      </c>
      <c r="O165" s="57" t="e">
        <f t="shared" ref="O165" si="97">G165*12/CurMonths/$O$12</f>
        <v>#DIV/0!</v>
      </c>
      <c r="P165" s="58" t="e">
        <f t="shared" si="82"/>
        <v>#DIV/0!</v>
      </c>
      <c r="Q165" s="281"/>
      <c r="R165" s="59" t="e">
        <f t="shared" si="83"/>
        <v>#DIV/0!</v>
      </c>
      <c r="S165" s="103"/>
      <c r="T165" s="86"/>
      <c r="U165" s="48"/>
      <c r="V165" s="60"/>
    </row>
    <row r="166" spans="2:22">
      <c r="B166" s="51"/>
      <c r="C166" s="51" t="s">
        <v>38</v>
      </c>
      <c r="D166" s="50"/>
      <c r="E166" s="52"/>
      <c r="F166" s="83" t="s">
        <v>38</v>
      </c>
      <c r="G166" s="273"/>
      <c r="H166" s="273"/>
      <c r="I166" s="282"/>
      <c r="J166" s="55">
        <f t="shared" si="78"/>
        <v>0</v>
      </c>
      <c r="K166" s="273"/>
      <c r="L166" s="55">
        <f t="shared" si="79"/>
        <v>0</v>
      </c>
      <c r="M166" s="56" t="e">
        <f>L166/K166</f>
        <v>#DIV/0!</v>
      </c>
      <c r="N166" s="57" t="e">
        <f t="shared" si="80"/>
        <v>#DIV/0!</v>
      </c>
      <c r="O166" s="57" t="e">
        <f t="shared" ref="O166" si="98">G166*12/CurMonths/$O$12</f>
        <v>#DIV/0!</v>
      </c>
      <c r="P166" s="58" t="e">
        <f t="shared" si="82"/>
        <v>#DIV/0!</v>
      </c>
      <c r="Q166" s="281"/>
      <c r="R166" s="59" t="e">
        <f t="shared" si="83"/>
        <v>#DIV/0!</v>
      </c>
      <c r="S166" s="103"/>
      <c r="T166" s="86"/>
      <c r="U166" s="48"/>
      <c r="V166" s="60"/>
    </row>
    <row r="167" spans="2:22">
      <c r="B167" s="51"/>
      <c r="C167" s="51" t="s">
        <v>36</v>
      </c>
      <c r="D167" s="50"/>
      <c r="E167" s="52"/>
      <c r="F167" s="83" t="s">
        <v>36</v>
      </c>
      <c r="G167" s="273"/>
      <c r="H167" s="273"/>
      <c r="I167" s="282"/>
      <c r="J167" s="55">
        <f t="shared" si="78"/>
        <v>0</v>
      </c>
      <c r="K167" s="273"/>
      <c r="L167" s="55">
        <f t="shared" si="79"/>
        <v>0</v>
      </c>
      <c r="M167" s="56" t="e">
        <f>L167/K167</f>
        <v>#DIV/0!</v>
      </c>
      <c r="N167" s="57" t="e">
        <f t="shared" si="80"/>
        <v>#DIV/0!</v>
      </c>
      <c r="O167" s="57" t="e">
        <f t="shared" ref="O167" si="99">G167*12/CurMonths/$O$12</f>
        <v>#DIV/0!</v>
      </c>
      <c r="P167" s="58" t="e">
        <f t="shared" si="82"/>
        <v>#DIV/0!</v>
      </c>
      <c r="Q167" s="281"/>
      <c r="R167" s="59" t="e">
        <f t="shared" si="83"/>
        <v>#DIV/0!</v>
      </c>
      <c r="S167" s="103"/>
      <c r="T167" s="86"/>
      <c r="U167" s="48"/>
      <c r="V167" s="60"/>
    </row>
    <row r="168" spans="2:22">
      <c r="B168" s="51"/>
      <c r="C168" s="51" t="s">
        <v>248</v>
      </c>
      <c r="D168" s="50"/>
      <c r="E168" s="52"/>
      <c r="F168" s="83" t="s">
        <v>248</v>
      </c>
      <c r="G168" s="273"/>
      <c r="H168" s="273"/>
      <c r="I168" s="282"/>
      <c r="J168" s="55">
        <f t="shared" si="78"/>
        <v>0</v>
      </c>
      <c r="K168" s="273"/>
      <c r="L168" s="55">
        <f t="shared" si="79"/>
        <v>0</v>
      </c>
      <c r="M168" s="56" t="e">
        <f>L168/K168</f>
        <v>#DIV/0!</v>
      </c>
      <c r="N168" s="57" t="e">
        <f t="shared" si="80"/>
        <v>#DIV/0!</v>
      </c>
      <c r="O168" s="57" t="e">
        <f t="shared" ref="O168" si="100">G168*12/CurMonths/$O$12</f>
        <v>#DIV/0!</v>
      </c>
      <c r="P168" s="58" t="e">
        <f t="shared" si="82"/>
        <v>#DIV/0!</v>
      </c>
      <c r="Q168" s="281"/>
      <c r="R168" s="59" t="e">
        <f t="shared" si="83"/>
        <v>#DIV/0!</v>
      </c>
      <c r="S168" s="103"/>
      <c r="T168" s="86"/>
      <c r="U168" s="48"/>
      <c r="V168" s="60"/>
    </row>
    <row r="169" spans="2:22">
      <c r="B169" s="51"/>
      <c r="C169" s="51" t="s">
        <v>89</v>
      </c>
      <c r="D169" s="50"/>
      <c r="E169" s="52"/>
      <c r="F169" s="83" t="s">
        <v>89</v>
      </c>
      <c r="G169" s="273"/>
      <c r="H169" s="273"/>
      <c r="I169" s="282"/>
      <c r="J169" s="55">
        <f t="shared" si="78"/>
        <v>0</v>
      </c>
      <c r="K169" s="273"/>
      <c r="L169" s="55">
        <f t="shared" si="79"/>
        <v>0</v>
      </c>
      <c r="M169" s="56" t="e">
        <f>L169/K169</f>
        <v>#DIV/0!</v>
      </c>
      <c r="N169" s="57" t="e">
        <f t="shared" si="80"/>
        <v>#DIV/0!</v>
      </c>
      <c r="O169" s="57" t="e">
        <f t="shared" ref="O169" si="101">G169*12/CurMonths/$O$12</f>
        <v>#DIV/0!</v>
      </c>
      <c r="P169" s="58" t="e">
        <f t="shared" si="82"/>
        <v>#DIV/0!</v>
      </c>
      <c r="Q169" s="281"/>
      <c r="R169" s="59" t="e">
        <f t="shared" si="83"/>
        <v>#DIV/0!</v>
      </c>
      <c r="S169" s="103"/>
      <c r="T169" s="86"/>
      <c r="U169" s="48"/>
      <c r="V169" s="60"/>
    </row>
    <row r="170" spans="2:22">
      <c r="B170" s="51"/>
      <c r="C170" s="51" t="s">
        <v>24</v>
      </c>
      <c r="D170" s="50"/>
      <c r="E170" s="52"/>
      <c r="F170" s="83" t="s">
        <v>24</v>
      </c>
      <c r="G170" s="273"/>
      <c r="H170" s="273"/>
      <c r="I170" s="282"/>
      <c r="J170" s="55">
        <f t="shared" si="78"/>
        <v>0</v>
      </c>
      <c r="K170" s="273"/>
      <c r="L170" s="55">
        <f t="shared" si="79"/>
        <v>0</v>
      </c>
      <c r="M170" s="56" t="e">
        <f>L170/K170</f>
        <v>#DIV/0!</v>
      </c>
      <c r="N170" s="57" t="e">
        <f t="shared" si="80"/>
        <v>#DIV/0!</v>
      </c>
      <c r="O170" s="57" t="e">
        <f t="shared" ref="O170" si="102">G170*12/CurMonths/$O$12</f>
        <v>#DIV/0!</v>
      </c>
      <c r="P170" s="58" t="e">
        <f t="shared" si="82"/>
        <v>#DIV/0!</v>
      </c>
      <c r="Q170" s="281"/>
      <c r="R170" s="59" t="e">
        <f t="shared" si="83"/>
        <v>#DIV/0!</v>
      </c>
      <c r="S170" s="103"/>
      <c r="T170" s="86"/>
      <c r="U170" s="48"/>
      <c r="V170" s="60"/>
    </row>
    <row r="171" spans="2:22">
      <c r="B171" s="51"/>
      <c r="C171" s="51" t="s">
        <v>249</v>
      </c>
      <c r="D171" s="50"/>
      <c r="E171" s="52"/>
      <c r="F171" s="83" t="s">
        <v>249</v>
      </c>
      <c r="G171" s="273"/>
      <c r="H171" s="273"/>
      <c r="I171" s="282"/>
      <c r="J171" s="55">
        <f t="shared" si="78"/>
        <v>0</v>
      </c>
      <c r="K171" s="273"/>
      <c r="L171" s="55">
        <f t="shared" si="79"/>
        <v>0</v>
      </c>
      <c r="M171" s="56" t="e">
        <f>L171/K171</f>
        <v>#DIV/0!</v>
      </c>
      <c r="N171" s="57" t="e">
        <f t="shared" si="80"/>
        <v>#DIV/0!</v>
      </c>
      <c r="O171" s="57" t="e">
        <f t="shared" ref="O171" si="103">G171*12/CurMonths/$O$12</f>
        <v>#DIV/0!</v>
      </c>
      <c r="P171" s="58" t="e">
        <f t="shared" si="82"/>
        <v>#DIV/0!</v>
      </c>
      <c r="Q171" s="281"/>
      <c r="R171" s="59" t="e">
        <f t="shared" si="83"/>
        <v>#DIV/0!</v>
      </c>
      <c r="S171" s="103"/>
      <c r="T171" s="86"/>
      <c r="U171" s="48"/>
      <c r="V171" s="60"/>
    </row>
    <row r="172" spans="2:22">
      <c r="B172" s="258"/>
      <c r="C172" s="258"/>
      <c r="D172" s="87" t="s">
        <v>250</v>
      </c>
      <c r="E172" s="88"/>
      <c r="F172" s="88"/>
      <c r="G172" s="258">
        <f>G139-G143</f>
        <v>0</v>
      </c>
      <c r="H172" s="258"/>
      <c r="I172" s="258"/>
      <c r="J172" s="258">
        <f>J139-J143</f>
        <v>0</v>
      </c>
      <c r="K172" s="258">
        <f>K139-K143</f>
        <v>0</v>
      </c>
      <c r="L172" s="258">
        <f>L139-L143</f>
        <v>0</v>
      </c>
      <c r="M172" s="259" t="e">
        <f t="shared" ref="M172" si="104">L172/K172</f>
        <v>#DIV/0!</v>
      </c>
      <c r="N172" s="47"/>
      <c r="O172" s="47"/>
      <c r="P172" s="47"/>
      <c r="Q172" s="47"/>
      <c r="R172" s="47"/>
      <c r="S172" s="251"/>
      <c r="T172" s="226"/>
      <c r="U172" s="48"/>
      <c r="V172" s="60"/>
    </row>
    <row r="173" spans="2:22">
      <c r="B173" s="92"/>
      <c r="C173" s="92"/>
      <c r="D173" s="89"/>
      <c r="E173" s="90" t="s">
        <v>251</v>
      </c>
      <c r="F173" s="91"/>
      <c r="G173" s="92" t="e">
        <f>G172/G118</f>
        <v>#DIV/0!</v>
      </c>
      <c r="H173" s="92"/>
      <c r="I173" s="92"/>
      <c r="J173" s="92" t="e">
        <f>J172/J118</f>
        <v>#DIV/0!</v>
      </c>
      <c r="K173" s="92" t="e">
        <f>K172/K118</f>
        <v>#DIV/0!</v>
      </c>
      <c r="L173" s="92" t="e">
        <f>G173-K173</f>
        <v>#DIV/0!</v>
      </c>
      <c r="M173" s="56"/>
      <c r="N173" s="56"/>
      <c r="O173" s="56"/>
      <c r="P173" s="56"/>
      <c r="Q173" s="56"/>
      <c r="R173" s="56"/>
      <c r="S173" s="85"/>
      <c r="T173" s="60"/>
      <c r="U173" s="48"/>
      <c r="V173" s="60"/>
    </row>
    <row r="174" spans="2:22">
      <c r="B174" s="92"/>
      <c r="C174" s="92"/>
      <c r="D174" s="89"/>
      <c r="E174" s="90" t="s">
        <v>252</v>
      </c>
      <c r="F174" s="91"/>
      <c r="G174" s="92" t="e">
        <f>G143/G118</f>
        <v>#DIV/0!</v>
      </c>
      <c r="H174" s="92"/>
      <c r="I174" s="92"/>
      <c r="J174" s="92" t="e">
        <f>J143/J118</f>
        <v>#DIV/0!</v>
      </c>
      <c r="K174" s="92" t="e">
        <f>K143/K118</f>
        <v>#DIV/0!</v>
      </c>
      <c r="L174" s="92" t="e">
        <f>G174-K174</f>
        <v>#DIV/0!</v>
      </c>
      <c r="M174" s="56"/>
      <c r="N174" s="56"/>
      <c r="O174" s="56"/>
      <c r="P174" s="56"/>
      <c r="Q174" s="56"/>
      <c r="R174" s="56"/>
      <c r="S174" s="85"/>
      <c r="T174" s="60"/>
      <c r="U174" s="48"/>
      <c r="V174" s="60"/>
    </row>
    <row r="175" spans="2:22">
      <c r="B175" s="258"/>
      <c r="C175" s="258"/>
      <c r="D175" s="44" t="s">
        <v>253</v>
      </c>
      <c r="E175" s="45"/>
      <c r="F175" s="45"/>
      <c r="G175" s="258">
        <f>SUM(G176:G182)</f>
        <v>0</v>
      </c>
      <c r="H175" s="258"/>
      <c r="I175" s="258"/>
      <c r="J175" s="258">
        <f>SUM(J176:J182)</f>
        <v>0</v>
      </c>
      <c r="K175" s="258">
        <f>SUM(K176:K182)</f>
        <v>0</v>
      </c>
      <c r="L175" s="258">
        <f>SUM(L176:L182)</f>
        <v>0</v>
      </c>
      <c r="M175" s="259" t="e">
        <f t="shared" ref="M175:M183" si="105">L175/K175</f>
        <v>#DIV/0!</v>
      </c>
      <c r="N175" s="47"/>
      <c r="O175" s="47"/>
      <c r="P175" s="47"/>
      <c r="Q175" s="47"/>
      <c r="R175" s="47"/>
      <c r="S175" s="81"/>
      <c r="T175" s="48"/>
      <c r="U175" s="79"/>
      <c r="V175" s="80"/>
    </row>
    <row r="176" spans="2:22">
      <c r="B176" s="84"/>
      <c r="C176" s="84" t="s">
        <v>43</v>
      </c>
      <c r="D176" s="50"/>
      <c r="E176" s="52"/>
      <c r="F176" s="83" t="s">
        <v>43</v>
      </c>
      <c r="G176" s="280"/>
      <c r="H176" s="280"/>
      <c r="I176" s="280"/>
      <c r="J176" s="54">
        <f>G176-H176+I176</f>
        <v>0</v>
      </c>
      <c r="K176" s="273"/>
      <c r="L176" s="55">
        <f t="shared" ref="L176:L182" si="106">J176-K176</f>
        <v>0</v>
      </c>
      <c r="M176" s="56" t="e">
        <f t="shared" si="105"/>
        <v>#DIV/0!</v>
      </c>
      <c r="N176" s="57" t="e">
        <f>G176/$N$12</f>
        <v>#DIV/0!</v>
      </c>
      <c r="O176" s="57" t="e">
        <f>G176*12/CurMonths/$O$12</f>
        <v>#DIV/0!</v>
      </c>
      <c r="P176" s="58" t="e">
        <f t="shared" ref="P176:P182" si="107">IF(ABS(O176)&gt;100%,"O","X")</f>
        <v>#DIV/0!</v>
      </c>
      <c r="Q176" s="281"/>
      <c r="R176" s="59" t="e">
        <f t="shared" ref="R176:R182" si="108">IF(P176="O","O",IF(Q176="O","O","X"))</f>
        <v>#DIV/0!</v>
      </c>
      <c r="S176" s="106"/>
      <c r="T176" s="60"/>
      <c r="V176" s="82"/>
    </row>
    <row r="177" spans="2:22">
      <c r="B177" s="84"/>
      <c r="C177" s="84" t="s">
        <v>25</v>
      </c>
      <c r="D177" s="50"/>
      <c r="E177" s="52"/>
      <c r="F177" s="83" t="s">
        <v>25</v>
      </c>
      <c r="G177" s="280"/>
      <c r="H177" s="280"/>
      <c r="I177" s="280"/>
      <c r="J177" s="54">
        <f>G177-H177+I177</f>
        <v>0</v>
      </c>
      <c r="K177" s="273"/>
      <c r="L177" s="55">
        <f t="shared" si="106"/>
        <v>0</v>
      </c>
      <c r="M177" s="56" t="e">
        <f t="shared" si="105"/>
        <v>#DIV/0!</v>
      </c>
      <c r="N177" s="57" t="e">
        <f>G177/$N$12</f>
        <v>#DIV/0!</v>
      </c>
      <c r="O177" s="57" t="e">
        <f>G177*12/CurMonths/$O$12</f>
        <v>#DIV/0!</v>
      </c>
      <c r="P177" s="58" t="e">
        <f t="shared" si="107"/>
        <v>#DIV/0!</v>
      </c>
      <c r="Q177" s="281"/>
      <c r="R177" s="59" t="e">
        <f t="shared" si="108"/>
        <v>#DIV/0!</v>
      </c>
      <c r="S177" s="106"/>
      <c r="T177" s="60"/>
      <c r="V177" s="82"/>
    </row>
    <row r="178" spans="2:22">
      <c r="B178" s="84"/>
      <c r="C178" s="84" t="s">
        <v>20</v>
      </c>
      <c r="D178" s="50"/>
      <c r="E178" s="52"/>
      <c r="F178" s="83" t="s">
        <v>20</v>
      </c>
      <c r="G178" s="280"/>
      <c r="H178" s="280"/>
      <c r="I178" s="280"/>
      <c r="J178" s="54">
        <f>G178-H178+I178</f>
        <v>0</v>
      </c>
      <c r="K178" s="273"/>
      <c r="L178" s="55">
        <f t="shared" si="106"/>
        <v>0</v>
      </c>
      <c r="M178" s="56" t="e">
        <f t="shared" si="105"/>
        <v>#DIV/0!</v>
      </c>
      <c r="N178" s="57" t="e">
        <f>G178/$N$12</f>
        <v>#DIV/0!</v>
      </c>
      <c r="O178" s="57" t="e">
        <f>G178*12/CurMonths/$O$12</f>
        <v>#DIV/0!</v>
      </c>
      <c r="P178" s="58" t="e">
        <f t="shared" si="107"/>
        <v>#DIV/0!</v>
      </c>
      <c r="Q178" s="281"/>
      <c r="R178" s="59" t="e">
        <f t="shared" si="108"/>
        <v>#DIV/0!</v>
      </c>
      <c r="S178" s="106"/>
      <c r="T178" s="60"/>
      <c r="V178" s="82"/>
    </row>
    <row r="179" spans="2:22">
      <c r="B179" s="84"/>
      <c r="C179" s="84" t="s">
        <v>163</v>
      </c>
      <c r="D179" s="50"/>
      <c r="E179" s="52"/>
      <c r="F179" s="83" t="s">
        <v>163</v>
      </c>
      <c r="G179" s="280"/>
      <c r="H179" s="280"/>
      <c r="I179" s="280"/>
      <c r="J179" s="54">
        <f>G179-H179+I179</f>
        <v>0</v>
      </c>
      <c r="K179" s="273"/>
      <c r="L179" s="55">
        <f t="shared" si="106"/>
        <v>0</v>
      </c>
      <c r="M179" s="56" t="e">
        <f t="shared" si="105"/>
        <v>#DIV/0!</v>
      </c>
      <c r="N179" s="57" t="e">
        <f>G179/$N$12</f>
        <v>#DIV/0!</v>
      </c>
      <c r="O179" s="57" t="e">
        <f>G179*12/CurMonths/$O$12</f>
        <v>#DIV/0!</v>
      </c>
      <c r="P179" s="58" t="e">
        <f t="shared" si="107"/>
        <v>#DIV/0!</v>
      </c>
      <c r="Q179" s="281"/>
      <c r="R179" s="59" t="e">
        <f t="shared" si="108"/>
        <v>#DIV/0!</v>
      </c>
      <c r="S179" s="106"/>
      <c r="T179" s="60"/>
      <c r="V179" s="82"/>
    </row>
    <row r="180" spans="2:22">
      <c r="B180" s="84"/>
      <c r="C180" s="84" t="s">
        <v>53</v>
      </c>
      <c r="D180" s="50"/>
      <c r="E180" s="52"/>
      <c r="F180" s="83" t="s">
        <v>53</v>
      </c>
      <c r="G180" s="280"/>
      <c r="H180" s="280"/>
      <c r="I180" s="280"/>
      <c r="J180" s="54">
        <f>G180-H180+I180</f>
        <v>0</v>
      </c>
      <c r="K180" s="273"/>
      <c r="L180" s="55">
        <f t="shared" si="106"/>
        <v>0</v>
      </c>
      <c r="M180" s="56" t="e">
        <f t="shared" si="105"/>
        <v>#DIV/0!</v>
      </c>
      <c r="N180" s="57" t="e">
        <f>G180/$N$12</f>
        <v>#DIV/0!</v>
      </c>
      <c r="O180" s="57" t="e">
        <f>G180*12/CurMonths/$O$12</f>
        <v>#DIV/0!</v>
      </c>
      <c r="P180" s="58" t="e">
        <f t="shared" si="107"/>
        <v>#DIV/0!</v>
      </c>
      <c r="Q180" s="281"/>
      <c r="R180" s="59" t="e">
        <f t="shared" si="108"/>
        <v>#DIV/0!</v>
      </c>
      <c r="S180" s="106"/>
      <c r="T180" s="60"/>
      <c r="V180" s="82"/>
    </row>
    <row r="181" spans="2:22">
      <c r="B181" s="84"/>
      <c r="C181" s="84" t="s">
        <v>129</v>
      </c>
      <c r="D181" s="50"/>
      <c r="E181" s="52"/>
      <c r="F181" s="83" t="s">
        <v>129</v>
      </c>
      <c r="G181" s="280"/>
      <c r="H181" s="280"/>
      <c r="I181" s="280"/>
      <c r="J181" s="54">
        <f>G181-H181+I181</f>
        <v>0</v>
      </c>
      <c r="K181" s="273"/>
      <c r="L181" s="55">
        <f t="shared" si="106"/>
        <v>0</v>
      </c>
      <c r="M181" s="56" t="e">
        <f t="shared" si="105"/>
        <v>#DIV/0!</v>
      </c>
      <c r="N181" s="57" t="e">
        <f>G181/$N$12</f>
        <v>#DIV/0!</v>
      </c>
      <c r="O181" s="57" t="e">
        <f>G181*12/CurMonths/$O$12</f>
        <v>#DIV/0!</v>
      </c>
      <c r="P181" s="58" t="e">
        <f t="shared" si="107"/>
        <v>#DIV/0!</v>
      </c>
      <c r="Q181" s="281"/>
      <c r="R181" s="59" t="e">
        <f t="shared" si="108"/>
        <v>#DIV/0!</v>
      </c>
      <c r="S181" s="106"/>
      <c r="T181" s="60"/>
      <c r="V181" s="82"/>
    </row>
    <row r="182" spans="2:22">
      <c r="B182" s="84"/>
      <c r="C182" s="84" t="s">
        <v>5</v>
      </c>
      <c r="D182" s="50"/>
      <c r="E182" s="52"/>
      <c r="F182" s="83" t="s">
        <v>5</v>
      </c>
      <c r="G182" s="280"/>
      <c r="H182" s="280"/>
      <c r="I182" s="280"/>
      <c r="J182" s="54">
        <f>G182-H182+I182</f>
        <v>0</v>
      </c>
      <c r="K182" s="273"/>
      <c r="L182" s="55">
        <f t="shared" si="106"/>
        <v>0</v>
      </c>
      <c r="M182" s="56" t="e">
        <f t="shared" si="105"/>
        <v>#DIV/0!</v>
      </c>
      <c r="N182" s="57" t="e">
        <f>G182/$N$12</f>
        <v>#DIV/0!</v>
      </c>
      <c r="O182" s="57" t="e">
        <f>G182*12/CurMonths/$O$12</f>
        <v>#DIV/0!</v>
      </c>
      <c r="P182" s="58" t="e">
        <f t="shared" si="107"/>
        <v>#DIV/0!</v>
      </c>
      <c r="Q182" s="281"/>
      <c r="R182" s="59" t="e">
        <f t="shared" si="108"/>
        <v>#DIV/0!</v>
      </c>
      <c r="S182" s="106"/>
      <c r="T182" s="60"/>
      <c r="V182" s="82"/>
    </row>
    <row r="183" spans="2:22">
      <c r="B183" s="258"/>
      <c r="C183" s="258"/>
      <c r="D183" s="44" t="s">
        <v>254</v>
      </c>
      <c r="E183" s="45"/>
      <c r="F183" s="45"/>
      <c r="G183" s="258">
        <f>SUM(G184:G191)</f>
        <v>0</v>
      </c>
      <c r="H183" s="258"/>
      <c r="I183" s="258"/>
      <c r="J183" s="258">
        <f>SUM(J184:J191)</f>
        <v>0</v>
      </c>
      <c r="K183" s="258">
        <f>SUM(K184:K191)</f>
        <v>0</v>
      </c>
      <c r="L183" s="258">
        <f>SUM(L184:L191)</f>
        <v>0</v>
      </c>
      <c r="M183" s="259" t="e">
        <f t="shared" si="105"/>
        <v>#DIV/0!</v>
      </c>
      <c r="N183" s="47"/>
      <c r="O183" s="47"/>
      <c r="P183" s="47"/>
      <c r="Q183" s="47"/>
      <c r="R183" s="47"/>
      <c r="S183" s="81"/>
      <c r="T183" s="48"/>
      <c r="U183" s="79"/>
      <c r="V183" s="80"/>
    </row>
    <row r="184" spans="2:22">
      <c r="B184" s="51"/>
      <c r="C184" s="51" t="s">
        <v>6</v>
      </c>
      <c r="D184" s="50"/>
      <c r="E184" s="52"/>
      <c r="F184" s="83" t="s">
        <v>6</v>
      </c>
      <c r="G184" s="273"/>
      <c r="H184" s="273"/>
      <c r="I184" s="282"/>
      <c r="J184" s="55">
        <f t="shared" ref="J184:J191" si="109">G184+H184-I184</f>
        <v>0</v>
      </c>
      <c r="K184" s="273"/>
      <c r="L184" s="55">
        <f t="shared" ref="L184:L191" si="110">J184-K184</f>
        <v>0</v>
      </c>
      <c r="M184" s="56" t="e">
        <f>L184/K184</f>
        <v>#DIV/0!</v>
      </c>
      <c r="N184" s="57" t="e">
        <f t="shared" ref="N184:N191" si="111">G184/$N$12</f>
        <v>#DIV/0!</v>
      </c>
      <c r="O184" s="57" t="e">
        <f t="shared" ref="O184" si="112">G184*12/CurMonths/$O$12</f>
        <v>#DIV/0!</v>
      </c>
      <c r="P184" s="58" t="e">
        <f t="shared" ref="P184:P191" si="113">IF(ABS(O184)&gt;100%,"O","X")</f>
        <v>#DIV/0!</v>
      </c>
      <c r="Q184" s="281"/>
      <c r="R184" s="59" t="e">
        <f t="shared" ref="R184:R191" si="114">IF(P184="O","O",IF(Q184="O","O","X"))</f>
        <v>#DIV/0!</v>
      </c>
      <c r="S184" s="103"/>
      <c r="T184" s="86"/>
      <c r="U184" s="48"/>
      <c r="V184" s="60"/>
    </row>
    <row r="185" spans="2:22">
      <c r="B185" s="51"/>
      <c r="C185" s="51" t="s">
        <v>21</v>
      </c>
      <c r="D185" s="50"/>
      <c r="E185" s="52"/>
      <c r="F185" s="83" t="s">
        <v>21</v>
      </c>
      <c r="G185" s="273"/>
      <c r="H185" s="273"/>
      <c r="I185" s="282"/>
      <c r="J185" s="55">
        <f t="shared" si="109"/>
        <v>0</v>
      </c>
      <c r="K185" s="273"/>
      <c r="L185" s="55">
        <f t="shared" si="110"/>
        <v>0</v>
      </c>
      <c r="M185" s="56" t="e">
        <f>L185/K185</f>
        <v>#DIV/0!</v>
      </c>
      <c r="N185" s="57" t="e">
        <f t="shared" si="111"/>
        <v>#DIV/0!</v>
      </c>
      <c r="O185" s="57" t="e">
        <f t="shared" ref="O185" si="115">G185*12/CurMonths/$O$12</f>
        <v>#DIV/0!</v>
      </c>
      <c r="P185" s="58" t="e">
        <f t="shared" si="113"/>
        <v>#DIV/0!</v>
      </c>
      <c r="Q185" s="281"/>
      <c r="R185" s="59" t="e">
        <f t="shared" si="114"/>
        <v>#DIV/0!</v>
      </c>
      <c r="S185" s="103"/>
      <c r="T185" s="86"/>
      <c r="U185" s="48"/>
      <c r="V185" s="60"/>
    </row>
    <row r="186" spans="2:22">
      <c r="B186" s="51"/>
      <c r="C186" s="51" t="s">
        <v>22</v>
      </c>
      <c r="D186" s="50"/>
      <c r="E186" s="52"/>
      <c r="F186" s="83" t="s">
        <v>22</v>
      </c>
      <c r="G186" s="273"/>
      <c r="H186" s="273"/>
      <c r="I186" s="282"/>
      <c r="J186" s="55">
        <f t="shared" si="109"/>
        <v>0</v>
      </c>
      <c r="K186" s="273"/>
      <c r="L186" s="55">
        <f t="shared" si="110"/>
        <v>0</v>
      </c>
      <c r="M186" s="56" t="e">
        <f>L186/K186</f>
        <v>#DIV/0!</v>
      </c>
      <c r="N186" s="57" t="e">
        <f t="shared" si="111"/>
        <v>#DIV/0!</v>
      </c>
      <c r="O186" s="57" t="e">
        <f t="shared" ref="O186" si="116">G186*12/CurMonths/$O$12</f>
        <v>#DIV/0!</v>
      </c>
      <c r="P186" s="58" t="e">
        <f t="shared" si="113"/>
        <v>#DIV/0!</v>
      </c>
      <c r="Q186" s="281"/>
      <c r="R186" s="59" t="e">
        <f t="shared" si="114"/>
        <v>#DIV/0!</v>
      </c>
      <c r="S186" s="103"/>
      <c r="T186" s="86"/>
      <c r="U186" s="48"/>
      <c r="V186" s="60"/>
    </row>
    <row r="187" spans="2:22">
      <c r="B187" s="51"/>
      <c r="C187" s="51" t="s">
        <v>110</v>
      </c>
      <c r="D187" s="50"/>
      <c r="E187" s="52"/>
      <c r="F187" s="83" t="s">
        <v>110</v>
      </c>
      <c r="G187" s="273"/>
      <c r="H187" s="273"/>
      <c r="I187" s="282"/>
      <c r="J187" s="55">
        <f t="shared" si="109"/>
        <v>0</v>
      </c>
      <c r="K187" s="273"/>
      <c r="L187" s="55">
        <f t="shared" si="110"/>
        <v>0</v>
      </c>
      <c r="M187" s="56" t="e">
        <f>L187/K187</f>
        <v>#DIV/0!</v>
      </c>
      <c r="N187" s="57" t="e">
        <f t="shared" si="111"/>
        <v>#DIV/0!</v>
      </c>
      <c r="O187" s="57" t="e">
        <f t="shared" ref="O187" si="117">G187*12/CurMonths/$O$12</f>
        <v>#DIV/0!</v>
      </c>
      <c r="P187" s="58" t="e">
        <f t="shared" si="113"/>
        <v>#DIV/0!</v>
      </c>
      <c r="Q187" s="281"/>
      <c r="R187" s="59" t="e">
        <f t="shared" si="114"/>
        <v>#DIV/0!</v>
      </c>
      <c r="S187" s="103"/>
      <c r="T187" s="86"/>
      <c r="U187" s="48"/>
      <c r="V187" s="60"/>
    </row>
    <row r="188" spans="2:22">
      <c r="B188" s="51"/>
      <c r="C188" s="51" t="s">
        <v>90</v>
      </c>
      <c r="D188" s="50"/>
      <c r="E188" s="52"/>
      <c r="F188" s="83" t="s">
        <v>90</v>
      </c>
      <c r="G188" s="273"/>
      <c r="H188" s="273"/>
      <c r="I188" s="282"/>
      <c r="J188" s="55">
        <f t="shared" si="109"/>
        <v>0</v>
      </c>
      <c r="K188" s="273"/>
      <c r="L188" s="55">
        <f t="shared" si="110"/>
        <v>0</v>
      </c>
      <c r="M188" s="56" t="e">
        <f>L188/K188</f>
        <v>#DIV/0!</v>
      </c>
      <c r="N188" s="57" t="e">
        <f t="shared" si="111"/>
        <v>#DIV/0!</v>
      </c>
      <c r="O188" s="57" t="e">
        <f t="shared" ref="O188" si="118">G188*12/CurMonths/$O$12</f>
        <v>#DIV/0!</v>
      </c>
      <c r="P188" s="58" t="e">
        <f t="shared" si="113"/>
        <v>#DIV/0!</v>
      </c>
      <c r="Q188" s="281"/>
      <c r="R188" s="59" t="e">
        <f t="shared" si="114"/>
        <v>#DIV/0!</v>
      </c>
      <c r="S188" s="103"/>
      <c r="T188" s="86"/>
      <c r="U188" s="48"/>
      <c r="V188" s="60"/>
    </row>
    <row r="189" spans="2:22">
      <c r="B189" s="51"/>
      <c r="C189" s="51" t="s">
        <v>162</v>
      </c>
      <c r="D189" s="50"/>
      <c r="E189" s="52"/>
      <c r="F189" s="83" t="s">
        <v>162</v>
      </c>
      <c r="G189" s="273"/>
      <c r="H189" s="273"/>
      <c r="I189" s="282"/>
      <c r="J189" s="55">
        <f t="shared" si="109"/>
        <v>0</v>
      </c>
      <c r="K189" s="273"/>
      <c r="L189" s="55">
        <f t="shared" si="110"/>
        <v>0</v>
      </c>
      <c r="M189" s="56" t="e">
        <f>L189/K189</f>
        <v>#DIV/0!</v>
      </c>
      <c r="N189" s="57" t="e">
        <f t="shared" si="111"/>
        <v>#DIV/0!</v>
      </c>
      <c r="O189" s="57" t="e">
        <f t="shared" ref="O189" si="119">G189*12/CurMonths/$O$12</f>
        <v>#DIV/0!</v>
      </c>
      <c r="P189" s="58" t="e">
        <f t="shared" si="113"/>
        <v>#DIV/0!</v>
      </c>
      <c r="Q189" s="281"/>
      <c r="R189" s="59" t="e">
        <f t="shared" si="114"/>
        <v>#DIV/0!</v>
      </c>
      <c r="S189" s="103"/>
      <c r="T189" s="86"/>
      <c r="U189" s="48"/>
      <c r="V189" s="60"/>
    </row>
    <row r="190" spans="2:22">
      <c r="B190" s="51"/>
      <c r="C190" s="51" t="s">
        <v>130</v>
      </c>
      <c r="D190" s="50"/>
      <c r="E190" s="52"/>
      <c r="F190" s="83" t="s">
        <v>130</v>
      </c>
      <c r="G190" s="273"/>
      <c r="H190" s="273"/>
      <c r="I190" s="282"/>
      <c r="J190" s="55">
        <f t="shared" si="109"/>
        <v>0</v>
      </c>
      <c r="K190" s="273"/>
      <c r="L190" s="55">
        <f t="shared" si="110"/>
        <v>0</v>
      </c>
      <c r="M190" s="56" t="e">
        <f>L190/K190</f>
        <v>#DIV/0!</v>
      </c>
      <c r="N190" s="57" t="e">
        <f t="shared" si="111"/>
        <v>#DIV/0!</v>
      </c>
      <c r="O190" s="57" t="e">
        <f t="shared" ref="O190" si="120">G190*12/CurMonths/$O$12</f>
        <v>#DIV/0!</v>
      </c>
      <c r="P190" s="58" t="e">
        <f t="shared" si="113"/>
        <v>#DIV/0!</v>
      </c>
      <c r="Q190" s="281"/>
      <c r="R190" s="59" t="e">
        <f t="shared" si="114"/>
        <v>#DIV/0!</v>
      </c>
      <c r="S190" s="103"/>
      <c r="T190" s="86"/>
      <c r="U190" s="48"/>
      <c r="V190" s="60"/>
    </row>
    <row r="191" spans="2:22">
      <c r="B191" s="51"/>
      <c r="C191" s="51" t="s">
        <v>23</v>
      </c>
      <c r="D191" s="50"/>
      <c r="E191" s="52"/>
      <c r="F191" s="83" t="s">
        <v>23</v>
      </c>
      <c r="G191" s="273"/>
      <c r="H191" s="273"/>
      <c r="I191" s="282"/>
      <c r="J191" s="55">
        <f t="shared" si="109"/>
        <v>0</v>
      </c>
      <c r="K191" s="273"/>
      <c r="L191" s="55">
        <f t="shared" si="110"/>
        <v>0</v>
      </c>
      <c r="M191" s="56" t="e">
        <f>L191/K191</f>
        <v>#DIV/0!</v>
      </c>
      <c r="N191" s="57" t="e">
        <f t="shared" si="111"/>
        <v>#DIV/0!</v>
      </c>
      <c r="O191" s="57" t="e">
        <f t="shared" ref="O191" si="121">G191*12/CurMonths/$O$12</f>
        <v>#DIV/0!</v>
      </c>
      <c r="P191" s="58" t="e">
        <f t="shared" si="113"/>
        <v>#DIV/0!</v>
      </c>
      <c r="Q191" s="281"/>
      <c r="R191" s="59" t="e">
        <f t="shared" si="114"/>
        <v>#DIV/0!</v>
      </c>
      <c r="S191" s="103"/>
      <c r="T191" s="86"/>
      <c r="U191" s="48"/>
      <c r="V191" s="60"/>
    </row>
    <row r="192" spans="2:22">
      <c r="B192" s="258"/>
      <c r="C192" s="258"/>
      <c r="D192" s="87" t="s">
        <v>255</v>
      </c>
      <c r="E192" s="88"/>
      <c r="F192" s="88"/>
      <c r="G192" s="258">
        <f>G172+G175-G183</f>
        <v>0</v>
      </c>
      <c r="H192" s="258"/>
      <c r="I192" s="258"/>
      <c r="J192" s="258">
        <f>J172+J175-J183</f>
        <v>0</v>
      </c>
      <c r="K192" s="258">
        <f>K172+K175-K183</f>
        <v>0</v>
      </c>
      <c r="L192" s="258">
        <f>L172+L175-L183</f>
        <v>0</v>
      </c>
      <c r="M192" s="259" t="e">
        <f t="shared" ref="M192:M195" si="122">L192/K192</f>
        <v>#DIV/0!</v>
      </c>
      <c r="N192" s="47"/>
      <c r="O192" s="47"/>
      <c r="P192" s="47"/>
      <c r="Q192" s="47"/>
      <c r="R192" s="47"/>
      <c r="S192" s="251"/>
      <c r="T192" s="226"/>
      <c r="U192" s="48"/>
      <c r="V192" s="60"/>
    </row>
    <row r="193" spans="1:22">
      <c r="B193" s="258"/>
      <c r="C193" s="258"/>
      <c r="D193" s="44" t="s">
        <v>256</v>
      </c>
      <c r="E193" s="45"/>
      <c r="F193" s="45"/>
      <c r="G193" s="258">
        <f>SUM(G194:G194)</f>
        <v>0</v>
      </c>
      <c r="H193" s="258"/>
      <c r="I193" s="258"/>
      <c r="J193" s="258">
        <f>SUM(J194:J194)</f>
        <v>0</v>
      </c>
      <c r="K193" s="258">
        <f>SUM(K194:K194)</f>
        <v>0</v>
      </c>
      <c r="L193" s="258">
        <f>SUM(L194:L194)</f>
        <v>0</v>
      </c>
      <c r="M193" s="259" t="e">
        <f t="shared" si="122"/>
        <v>#DIV/0!</v>
      </c>
      <c r="N193" s="47"/>
      <c r="O193" s="47"/>
      <c r="P193" s="47"/>
      <c r="Q193" s="47"/>
      <c r="R193" s="47"/>
      <c r="S193" s="81"/>
      <c r="T193" s="48"/>
      <c r="U193" s="79"/>
      <c r="V193" s="80"/>
    </row>
    <row r="194" spans="1:22">
      <c r="B194" s="84"/>
      <c r="C194" s="84" t="s">
        <v>257</v>
      </c>
      <c r="D194" s="50"/>
      <c r="E194" s="52"/>
      <c r="F194" s="83" t="s">
        <v>257</v>
      </c>
      <c r="G194" s="280"/>
      <c r="H194" s="280"/>
      <c r="I194" s="280"/>
      <c r="J194" s="54">
        <f>G194-H194+I194</f>
        <v>0</v>
      </c>
      <c r="K194" s="273"/>
      <c r="L194" s="55">
        <f t="shared" ref="L194" si="123">J194-K194</f>
        <v>0</v>
      </c>
      <c r="M194" s="56" t="e">
        <f t="shared" si="122"/>
        <v>#DIV/0!</v>
      </c>
      <c r="N194" s="57" t="e">
        <f>G194/$N$12</f>
        <v>#DIV/0!</v>
      </c>
      <c r="O194" s="57" t="e">
        <f>G194*12/CurMonths/$O$12</f>
        <v>#DIV/0!</v>
      </c>
      <c r="P194" s="58" t="e">
        <f t="shared" ref="P194" si="124">IF(ABS(O194)&gt;100%,"O","X")</f>
        <v>#DIV/0!</v>
      </c>
      <c r="Q194" s="281"/>
      <c r="R194" s="59" t="e">
        <f t="shared" ref="R194" si="125">IF(P194="O","O",IF(Q194="O","O","X"))</f>
        <v>#DIV/0!</v>
      </c>
      <c r="S194" s="106"/>
      <c r="T194" s="60"/>
      <c r="V194" s="82"/>
    </row>
    <row r="195" spans="1:22">
      <c r="B195" s="258"/>
      <c r="C195" s="258"/>
      <c r="D195" s="44" t="s">
        <v>258</v>
      </c>
      <c r="E195" s="45"/>
      <c r="F195" s="45"/>
      <c r="G195" s="258">
        <f>SUM(G196:G196)</f>
        <v>0</v>
      </c>
      <c r="H195" s="258"/>
      <c r="I195" s="258"/>
      <c r="J195" s="258">
        <f>SUM(J196:J196)</f>
        <v>0</v>
      </c>
      <c r="K195" s="258">
        <f>SUM(K196:K196)</f>
        <v>0</v>
      </c>
      <c r="L195" s="258">
        <f>SUM(L196:L196)</f>
        <v>0</v>
      </c>
      <c r="M195" s="259" t="e">
        <f t="shared" si="122"/>
        <v>#DIV/0!</v>
      </c>
      <c r="N195" s="47"/>
      <c r="O195" s="47"/>
      <c r="P195" s="47"/>
      <c r="Q195" s="47"/>
      <c r="R195" s="47"/>
      <c r="S195" s="81"/>
      <c r="T195" s="48"/>
      <c r="U195" s="79"/>
      <c r="V195" s="80"/>
    </row>
    <row r="196" spans="1:22">
      <c r="B196" s="51"/>
      <c r="C196" s="51" t="s">
        <v>259</v>
      </c>
      <c r="D196" s="50"/>
      <c r="E196" s="52"/>
      <c r="F196" s="83" t="s">
        <v>259</v>
      </c>
      <c r="G196" s="273"/>
      <c r="H196" s="273"/>
      <c r="I196" s="282"/>
      <c r="J196" s="55">
        <f t="shared" ref="J196" si="126">G196+H196-I196</f>
        <v>0</v>
      </c>
      <c r="K196" s="273"/>
      <c r="L196" s="55">
        <f t="shared" ref="L196" si="127">J196-K196</f>
        <v>0</v>
      </c>
      <c r="M196" s="56" t="e">
        <f>L196/K196</f>
        <v>#DIV/0!</v>
      </c>
      <c r="N196" s="57" t="e">
        <f t="shared" ref="N196" si="128">G196/$N$12</f>
        <v>#DIV/0!</v>
      </c>
      <c r="O196" s="57" t="e">
        <f t="shared" ref="O196" si="129">G196*12/CurMonths/$O$12</f>
        <v>#DIV/0!</v>
      </c>
      <c r="P196" s="58" t="e">
        <f t="shared" ref="P196" si="130">IF(ABS(O196)&gt;100%,"O","X")</f>
        <v>#DIV/0!</v>
      </c>
      <c r="Q196" s="281"/>
      <c r="R196" s="59" t="e">
        <f t="shared" ref="R196" si="131">IF(P196="O","O",IF(Q196="O","O","X"))</f>
        <v>#DIV/0!</v>
      </c>
      <c r="S196" s="103"/>
      <c r="T196" s="86"/>
      <c r="U196" s="48"/>
      <c r="V196" s="60"/>
    </row>
    <row r="197" spans="1:22">
      <c r="B197" s="258"/>
      <c r="C197" s="258"/>
      <c r="D197" s="87" t="s">
        <v>260</v>
      </c>
      <c r="E197" s="88"/>
      <c r="F197" s="88"/>
      <c r="G197" s="258">
        <f>G192+G193-G195</f>
        <v>0</v>
      </c>
      <c r="H197" s="258"/>
      <c r="I197" s="258"/>
      <c r="J197" s="258">
        <f>J192+J193-J195</f>
        <v>0</v>
      </c>
      <c r="K197" s="258">
        <f>K192+K193-K195</f>
        <v>0</v>
      </c>
      <c r="L197" s="258">
        <f>L192+L193-L195</f>
        <v>0</v>
      </c>
      <c r="M197" s="259" t="e">
        <f t="shared" ref="M197" si="132">L197/K197</f>
        <v>#DIV/0!</v>
      </c>
      <c r="N197" s="47"/>
      <c r="O197" s="47"/>
      <c r="P197" s="47"/>
      <c r="Q197" s="47"/>
      <c r="R197" s="47"/>
      <c r="S197" s="251"/>
      <c r="T197" s="226"/>
      <c r="U197" s="48"/>
      <c r="V197" s="60"/>
    </row>
    <row r="198" spans="1:22">
      <c r="B198" s="92"/>
      <c r="C198" s="92"/>
      <c r="D198" s="89"/>
      <c r="E198" s="90" t="s">
        <v>261</v>
      </c>
      <c r="F198" s="91"/>
      <c r="G198" s="92" t="e">
        <f>G197/G118</f>
        <v>#DIV/0!</v>
      </c>
      <c r="H198" s="92"/>
      <c r="I198" s="92"/>
      <c r="J198" s="92" t="e">
        <f>J197/J118</f>
        <v>#DIV/0!</v>
      </c>
      <c r="K198" s="92" t="e">
        <f>K197/K118</f>
        <v>#DIV/0!</v>
      </c>
      <c r="L198" s="92" t="e">
        <f>G198-K198</f>
        <v>#DIV/0!</v>
      </c>
      <c r="M198" s="56"/>
      <c r="N198" s="56"/>
      <c r="O198" s="56"/>
      <c r="P198" s="56"/>
      <c r="Q198" s="56"/>
      <c r="R198" s="56"/>
      <c r="S198" s="85"/>
      <c r="T198" s="60"/>
      <c r="U198" s="48"/>
      <c r="V198" s="60"/>
    </row>
    <row r="199" spans="1:22">
      <c r="B199" s="51"/>
      <c r="C199" s="51" t="s">
        <v>54</v>
      </c>
      <c r="D199" s="50"/>
      <c r="E199" s="52"/>
      <c r="F199" s="83" t="s">
        <v>54</v>
      </c>
      <c r="G199" s="273"/>
      <c r="H199" s="273"/>
      <c r="I199" s="282"/>
      <c r="J199" s="55">
        <f t="shared" ref="J199" si="133">G199+H199-I199</f>
        <v>0</v>
      </c>
      <c r="K199" s="273"/>
      <c r="L199" s="55">
        <f t="shared" ref="L199" si="134">J199-K199</f>
        <v>0</v>
      </c>
      <c r="M199" s="56" t="e">
        <f>L199/K199</f>
        <v>#DIV/0!</v>
      </c>
      <c r="N199" s="57" t="e">
        <f t="shared" ref="N199" si="135">G199/$N$12</f>
        <v>#DIV/0!</v>
      </c>
      <c r="O199" s="57" t="e">
        <f t="shared" ref="O199" si="136">G199*12/CurMonths/$O$12</f>
        <v>#DIV/0!</v>
      </c>
      <c r="P199" s="58" t="e">
        <f t="shared" ref="P199" si="137">IF(ABS(O199)&gt;100%,"O","X")</f>
        <v>#DIV/0!</v>
      </c>
      <c r="Q199" s="281"/>
      <c r="R199" s="59" t="e">
        <f t="shared" ref="R199" si="138">IF(P199="O","O",IF(Q199="O","O","X"))</f>
        <v>#DIV/0!</v>
      </c>
      <c r="S199" s="103"/>
      <c r="T199" s="86"/>
      <c r="U199" s="48"/>
      <c r="V199" s="60"/>
    </row>
    <row r="200" spans="1:22">
      <c r="B200" s="258"/>
      <c r="C200" s="258"/>
      <c r="D200" s="44" t="s">
        <v>262</v>
      </c>
      <c r="E200" s="45"/>
      <c r="F200" s="45"/>
      <c r="G200" s="258">
        <f>G197-G199</f>
        <v>0</v>
      </c>
      <c r="H200" s="258"/>
      <c r="I200" s="258"/>
      <c r="J200" s="258">
        <f>J197-J199</f>
        <v>0</v>
      </c>
      <c r="K200" s="258">
        <f>K197-K199</f>
        <v>0</v>
      </c>
      <c r="L200" s="258">
        <f>L197-L199</f>
        <v>0</v>
      </c>
      <c r="M200" s="259" t="e">
        <f>L200/K200</f>
        <v>#DIV/0!</v>
      </c>
      <c r="N200" s="57" t="e">
        <f>G200/$N$12</f>
        <v>#DIV/0!</v>
      </c>
      <c r="O200" s="57" t="e">
        <f>G200*12/CurMonths/$O$12</f>
        <v>#DIV/0!</v>
      </c>
      <c r="P200" s="58" t="e">
        <f>IF(ABS(O200)&gt;100%,"O","X")</f>
        <v>#DIV/0!</v>
      </c>
      <c r="Q200" s="57"/>
      <c r="R200" s="59" t="e">
        <f>IF(P200="O","O",IF(Q200="O","O","X"))</f>
        <v>#DIV/0!</v>
      </c>
      <c r="S200" s="81"/>
      <c r="T200" s="99"/>
      <c r="U200" s="48"/>
      <c r="V200" s="49"/>
    </row>
    <row r="201" spans="1:22">
      <c r="B201" s="92"/>
      <c r="C201" s="92"/>
      <c r="D201" s="89"/>
      <c r="E201" s="90" t="s">
        <v>263</v>
      </c>
      <c r="F201" s="91"/>
      <c r="G201" s="92" t="e">
        <f>G200/G118</f>
        <v>#DIV/0!</v>
      </c>
      <c r="H201" s="92"/>
      <c r="I201" s="92"/>
      <c r="J201" s="92" t="e">
        <f>J200/J118</f>
        <v>#DIV/0!</v>
      </c>
      <c r="K201" s="92" t="e">
        <f>K200/K118</f>
        <v>#DIV/0!</v>
      </c>
      <c r="L201" s="92" t="e">
        <f>G201-K201</f>
        <v>#DIV/0!</v>
      </c>
      <c r="M201" s="56"/>
      <c r="N201" s="56"/>
      <c r="O201" s="56"/>
      <c r="P201" s="56"/>
      <c r="Q201" s="56"/>
      <c r="R201" s="56"/>
      <c r="S201" s="85"/>
      <c r="T201" s="60"/>
      <c r="U201" s="48"/>
      <c r="V201" s="60"/>
    </row>
    <row r="202" spans="1:22">
      <c r="B202" s="65"/>
      <c r="C202" s="65"/>
      <c r="D202" s="65"/>
      <c r="E202" s="65"/>
      <c r="F202" s="65"/>
      <c r="G202" s="65"/>
      <c r="H202" s="65">
        <f>SUM(H118:H201)</f>
        <v>0</v>
      </c>
      <c r="I202" s="65">
        <f>SUM(I118:I201)</f>
        <v>0</v>
      </c>
      <c r="J202" s="65">
        <f>H202-I202</f>
        <v>0</v>
      </c>
      <c r="K202" s="65"/>
      <c r="L202" s="65"/>
      <c r="M202" s="65"/>
      <c r="N202" s="65"/>
      <c r="O202" s="65"/>
      <c r="P202" s="65"/>
      <c r="Q202" s="65"/>
      <c r="R202" s="65"/>
      <c r="S202" s="48"/>
      <c r="T202" s="227"/>
      <c r="U202" s="95"/>
      <c r="V202" s="95"/>
    </row>
    <row r="203" spans="1:22">
      <c r="A203" s="10">
        <v>1</v>
      </c>
      <c r="B203" s="65"/>
      <c r="C203" s="65"/>
      <c r="D203" s="65" t="s">
        <v>55</v>
      </c>
      <c r="E203" s="29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48"/>
      <c r="T203" s="227"/>
      <c r="U203" s="68"/>
      <c r="V203" s="11"/>
    </row>
    <row r="204" spans="1:22">
      <c r="A204" s="10">
        <v>1</v>
      </c>
      <c r="B204" s="31"/>
      <c r="C204" s="31"/>
      <c r="D204" s="30"/>
      <c r="E204" s="30"/>
      <c r="F204" s="30"/>
      <c r="G204" s="276"/>
      <c r="H204" s="276"/>
      <c r="I204" s="276"/>
      <c r="J204" s="31" t="s">
        <v>133</v>
      </c>
      <c r="K204" s="31">
        <f>K115</f>
        <v>0</v>
      </c>
      <c r="L204" s="69" t="s">
        <v>1</v>
      </c>
      <c r="M204" s="71"/>
      <c r="N204" s="96" t="s">
        <v>70</v>
      </c>
      <c r="O204" s="96" t="s">
        <v>71</v>
      </c>
      <c r="P204" s="96" t="s">
        <v>66</v>
      </c>
      <c r="Q204" s="284"/>
      <c r="R204" s="96"/>
      <c r="T204" s="227"/>
      <c r="U204" s="68"/>
      <c r="V204" s="11"/>
    </row>
    <row r="205" spans="1:22">
      <c r="A205" s="10">
        <v>1</v>
      </c>
      <c r="B205" s="36"/>
      <c r="C205" s="36"/>
      <c r="D205" s="35"/>
      <c r="E205" s="35"/>
      <c r="F205" s="35"/>
      <c r="G205" s="285">
        <f>$G$12</f>
        <v>0</v>
      </c>
      <c r="H205" s="285"/>
      <c r="I205" s="285"/>
      <c r="J205" s="36">
        <f>G205</f>
        <v>0</v>
      </c>
      <c r="K205" s="36">
        <f>K116</f>
        <v>-366</v>
      </c>
      <c r="L205" s="75" t="s">
        <v>2</v>
      </c>
      <c r="M205" s="97" t="s">
        <v>0</v>
      </c>
      <c r="N205" s="98">
        <f>$N$12</f>
        <v>0</v>
      </c>
      <c r="O205" s="98">
        <f>$O$12</f>
        <v>0</v>
      </c>
      <c r="P205" s="98" t="s">
        <v>67</v>
      </c>
      <c r="Q205" s="286"/>
      <c r="R205" s="98" t="s">
        <v>69</v>
      </c>
      <c r="T205" s="227"/>
      <c r="U205" s="72"/>
      <c r="V205" s="73"/>
    </row>
    <row r="206" spans="1:22">
      <c r="A206" s="10">
        <v>1</v>
      </c>
      <c r="B206" s="255"/>
      <c r="C206" s="255"/>
      <c r="D206" s="253" t="s">
        <v>56</v>
      </c>
      <c r="E206" s="254"/>
      <c r="F206" s="254"/>
      <c r="G206" s="255"/>
      <c r="H206" s="255"/>
      <c r="I206" s="255"/>
      <c r="J206" s="255"/>
      <c r="K206" s="255"/>
      <c r="L206" s="255"/>
      <c r="M206" s="256"/>
      <c r="N206" s="256"/>
      <c r="O206" s="256"/>
      <c r="P206" s="256"/>
      <c r="Q206" s="256"/>
      <c r="R206" s="256"/>
      <c r="S206" s="257"/>
      <c r="T206" s="227"/>
      <c r="U206" s="78"/>
      <c r="V206" s="73"/>
    </row>
    <row r="207" spans="1:22">
      <c r="B207" s="258"/>
      <c r="C207" s="258"/>
      <c r="D207" s="44" t="s">
        <v>264</v>
      </c>
      <c r="E207" s="45"/>
      <c r="F207" s="45"/>
      <c r="G207" s="258">
        <f>SUM(G208:G212)</f>
        <v>0</v>
      </c>
      <c r="H207" s="258"/>
      <c r="I207" s="258"/>
      <c r="J207" s="258">
        <f>SUM(J208:J212)</f>
        <v>0</v>
      </c>
      <c r="K207" s="258">
        <f>SUM(K208:K212)</f>
        <v>0</v>
      </c>
      <c r="L207" s="258">
        <f>SUM(L208:L212)</f>
        <v>0</v>
      </c>
      <c r="M207" s="259" t="e">
        <f t="shared" ref="M207:M245" si="139">L207/K207</f>
        <v>#DIV/0!</v>
      </c>
      <c r="N207" s="47"/>
      <c r="O207" s="47"/>
      <c r="P207" s="47"/>
      <c r="Q207" s="47"/>
      <c r="R207" s="47"/>
      <c r="S207" s="251"/>
      <c r="T207" s="227"/>
      <c r="U207" s="79"/>
      <c r="V207" s="80"/>
    </row>
    <row r="208" spans="1:22">
      <c r="B208" s="55"/>
      <c r="C208" s="55" t="s">
        <v>164</v>
      </c>
      <c r="D208" s="50"/>
      <c r="E208" s="52"/>
      <c r="F208" s="52" t="s">
        <v>164</v>
      </c>
      <c r="G208" s="273"/>
      <c r="H208" s="273"/>
      <c r="I208" s="273"/>
      <c r="J208" s="55">
        <f t="shared" ref="J208:J212" si="140">G208+H208-I208</f>
        <v>0</v>
      </c>
      <c r="K208" s="273"/>
      <c r="L208" s="55">
        <f t="shared" ref="L208:L212" si="141">J208-K208</f>
        <v>0</v>
      </c>
      <c r="M208" s="56" t="e">
        <f t="shared" si="139"/>
        <v>#DIV/0!</v>
      </c>
      <c r="N208" s="100" t="e">
        <f t="shared" ref="N208:N212" si="142">G208/$N$12</f>
        <v>#DIV/0!</v>
      </c>
      <c r="O208" s="57" t="e">
        <f t="shared" ref="O208" si="143">G208*12/CurMonths/$O$12</f>
        <v>#DIV/0!</v>
      </c>
      <c r="P208" s="101" t="e">
        <f t="shared" ref="P208:P212" si="144">IF(ABS(O208)&gt;100%,"O","X")</f>
        <v>#DIV/0!</v>
      </c>
      <c r="Q208" s="287"/>
      <c r="R208" s="101" t="e">
        <f t="shared" ref="R208:R212" si="145">IF(P208="O","O",IF(Q208="O","O","X"))</f>
        <v>#DIV/0!</v>
      </c>
      <c r="S208" s="103"/>
      <c r="T208" s="86"/>
      <c r="U208" s="93"/>
      <c r="V208" s="99"/>
    </row>
    <row r="209" spans="2:22">
      <c r="B209" s="55"/>
      <c r="C209" s="55" t="s">
        <v>165</v>
      </c>
      <c r="D209" s="50"/>
      <c r="E209" s="52"/>
      <c r="F209" s="52" t="s">
        <v>165</v>
      </c>
      <c r="G209" s="273"/>
      <c r="H209" s="273"/>
      <c r="I209" s="273"/>
      <c r="J209" s="55">
        <f t="shared" si="140"/>
        <v>0</v>
      </c>
      <c r="K209" s="273"/>
      <c r="L209" s="55">
        <f t="shared" si="141"/>
        <v>0</v>
      </c>
      <c r="M209" s="56" t="e">
        <f t="shared" si="139"/>
        <v>#DIV/0!</v>
      </c>
      <c r="N209" s="100" t="e">
        <f t="shared" si="142"/>
        <v>#DIV/0!</v>
      </c>
      <c r="O209" s="57" t="e">
        <f t="shared" ref="O209" si="146">G209*12/CurMonths/$O$12</f>
        <v>#DIV/0!</v>
      </c>
      <c r="P209" s="101" t="e">
        <f t="shared" si="144"/>
        <v>#DIV/0!</v>
      </c>
      <c r="Q209" s="287"/>
      <c r="R209" s="101" t="e">
        <f t="shared" si="145"/>
        <v>#DIV/0!</v>
      </c>
      <c r="S209" s="103"/>
      <c r="T209" s="86"/>
      <c r="U209" s="93"/>
      <c r="V209" s="99"/>
    </row>
    <row r="210" spans="2:22">
      <c r="B210" s="55"/>
      <c r="C210" s="55" t="s">
        <v>166</v>
      </c>
      <c r="D210" s="50"/>
      <c r="E210" s="52"/>
      <c r="F210" s="52" t="s">
        <v>166</v>
      </c>
      <c r="G210" s="273"/>
      <c r="H210" s="273"/>
      <c r="I210" s="273"/>
      <c r="J210" s="55">
        <f t="shared" si="140"/>
        <v>0</v>
      </c>
      <c r="K210" s="273"/>
      <c r="L210" s="55">
        <f t="shared" si="141"/>
        <v>0</v>
      </c>
      <c r="M210" s="56" t="e">
        <f t="shared" si="139"/>
        <v>#DIV/0!</v>
      </c>
      <c r="N210" s="100" t="e">
        <f t="shared" si="142"/>
        <v>#DIV/0!</v>
      </c>
      <c r="O210" s="57" t="e">
        <f t="shared" ref="O210" si="147">G210*12/CurMonths/$O$12</f>
        <v>#DIV/0!</v>
      </c>
      <c r="P210" s="101" t="e">
        <f t="shared" si="144"/>
        <v>#DIV/0!</v>
      </c>
      <c r="Q210" s="287"/>
      <c r="R210" s="101" t="e">
        <f t="shared" si="145"/>
        <v>#DIV/0!</v>
      </c>
      <c r="S210" s="103"/>
      <c r="T210" s="86"/>
      <c r="U210" s="93"/>
      <c r="V210" s="99"/>
    </row>
    <row r="211" spans="2:22">
      <c r="B211" s="55"/>
      <c r="C211" s="55" t="s">
        <v>167</v>
      </c>
      <c r="D211" s="50"/>
      <c r="E211" s="52"/>
      <c r="F211" s="52" t="s">
        <v>167</v>
      </c>
      <c r="G211" s="273"/>
      <c r="H211" s="273"/>
      <c r="I211" s="273"/>
      <c r="J211" s="55">
        <f t="shared" si="140"/>
        <v>0</v>
      </c>
      <c r="K211" s="273"/>
      <c r="L211" s="55">
        <f t="shared" si="141"/>
        <v>0</v>
      </c>
      <c r="M211" s="56" t="e">
        <f t="shared" si="139"/>
        <v>#DIV/0!</v>
      </c>
      <c r="N211" s="100" t="e">
        <f t="shared" si="142"/>
        <v>#DIV/0!</v>
      </c>
      <c r="O211" s="57" t="e">
        <f t="shared" ref="O211" si="148">G211*12/CurMonths/$O$12</f>
        <v>#DIV/0!</v>
      </c>
      <c r="P211" s="101" t="e">
        <f t="shared" si="144"/>
        <v>#DIV/0!</v>
      </c>
      <c r="Q211" s="287"/>
      <c r="R211" s="101" t="e">
        <f t="shared" si="145"/>
        <v>#DIV/0!</v>
      </c>
      <c r="S211" s="103"/>
      <c r="T211" s="86"/>
      <c r="U211" s="93"/>
      <c r="V211" s="99"/>
    </row>
    <row r="212" spans="2:22">
      <c r="B212" s="55"/>
      <c r="C212" s="55" t="s">
        <v>168</v>
      </c>
      <c r="D212" s="50"/>
      <c r="E212" s="52"/>
      <c r="F212" s="52" t="s">
        <v>168</v>
      </c>
      <c r="G212" s="273"/>
      <c r="H212" s="273"/>
      <c r="I212" s="273"/>
      <c r="J212" s="55">
        <f t="shared" si="140"/>
        <v>0</v>
      </c>
      <c r="K212" s="273"/>
      <c r="L212" s="55">
        <f t="shared" si="141"/>
        <v>0</v>
      </c>
      <c r="M212" s="56" t="e">
        <f t="shared" si="139"/>
        <v>#DIV/0!</v>
      </c>
      <c r="N212" s="100" t="e">
        <f t="shared" si="142"/>
        <v>#DIV/0!</v>
      </c>
      <c r="O212" s="57" t="e">
        <f t="shared" ref="O212" si="149">G212*12/CurMonths/$O$12</f>
        <v>#DIV/0!</v>
      </c>
      <c r="P212" s="101" t="e">
        <f t="shared" si="144"/>
        <v>#DIV/0!</v>
      </c>
      <c r="Q212" s="287"/>
      <c r="R212" s="101" t="e">
        <f t="shared" si="145"/>
        <v>#DIV/0!</v>
      </c>
      <c r="S212" s="103"/>
      <c r="T212" s="86"/>
      <c r="U212" s="93"/>
      <c r="V212" s="99"/>
    </row>
    <row r="213" spans="2:22">
      <c r="B213" s="258"/>
      <c r="C213" s="258"/>
      <c r="D213" s="44" t="s">
        <v>265</v>
      </c>
      <c r="E213" s="45"/>
      <c r="F213" s="45"/>
      <c r="G213" s="258">
        <f>SUM(G214:G219)</f>
        <v>0</v>
      </c>
      <c r="H213" s="258"/>
      <c r="I213" s="258"/>
      <c r="J213" s="258">
        <f>SUM(J214:J219)</f>
        <v>0</v>
      </c>
      <c r="K213" s="258">
        <f>SUM(K214:K219)</f>
        <v>0</v>
      </c>
      <c r="L213" s="258">
        <f>SUM(L214:L219)</f>
        <v>0</v>
      </c>
      <c r="M213" s="259" t="e">
        <f t="shared" si="139"/>
        <v>#DIV/0!</v>
      </c>
      <c r="N213" s="47"/>
      <c r="O213" s="47"/>
      <c r="P213" s="47"/>
      <c r="Q213" s="47"/>
      <c r="R213" s="47"/>
      <c r="S213" s="251"/>
      <c r="T213" s="227"/>
      <c r="U213" s="79"/>
      <c r="V213" s="80"/>
    </row>
    <row r="214" spans="2:22">
      <c r="B214" s="55"/>
      <c r="C214" s="55" t="s">
        <v>109</v>
      </c>
      <c r="D214" s="50"/>
      <c r="E214" s="52"/>
      <c r="F214" s="52" t="s">
        <v>109</v>
      </c>
      <c r="G214" s="273"/>
      <c r="H214" s="273"/>
      <c r="I214" s="273"/>
      <c r="J214" s="55">
        <f t="shared" ref="J214:J219" si="150">G214+H214-I214</f>
        <v>0</v>
      </c>
      <c r="K214" s="273"/>
      <c r="L214" s="55">
        <f t="shared" ref="L214:L219" si="151">J214-K214</f>
        <v>0</v>
      </c>
      <c r="M214" s="56" t="e">
        <f t="shared" si="139"/>
        <v>#DIV/0!</v>
      </c>
      <c r="N214" s="100" t="e">
        <f t="shared" ref="N214:N219" si="152">G214/$N$12</f>
        <v>#DIV/0!</v>
      </c>
      <c r="O214" s="57" t="e">
        <f t="shared" ref="O214" si="153">G214*12/CurMonths/$O$12</f>
        <v>#DIV/0!</v>
      </c>
      <c r="P214" s="101" t="e">
        <f t="shared" ref="P214:P219" si="154">IF(ABS(O214)&gt;100%,"O","X")</f>
        <v>#DIV/0!</v>
      </c>
      <c r="Q214" s="287"/>
      <c r="R214" s="101" t="e">
        <f t="shared" ref="R214:R219" si="155">IF(P214="O","O",IF(Q214="O","O","X"))</f>
        <v>#DIV/0!</v>
      </c>
      <c r="S214" s="103"/>
      <c r="T214" s="86"/>
      <c r="U214" s="93"/>
      <c r="V214" s="99"/>
    </row>
    <row r="215" spans="2:22">
      <c r="B215" s="55"/>
      <c r="C215" s="55" t="s">
        <v>159</v>
      </c>
      <c r="D215" s="50"/>
      <c r="E215" s="52"/>
      <c r="F215" s="52" t="s">
        <v>159</v>
      </c>
      <c r="G215" s="273"/>
      <c r="H215" s="273"/>
      <c r="I215" s="273"/>
      <c r="J215" s="55">
        <f t="shared" si="150"/>
        <v>0</v>
      </c>
      <c r="K215" s="273"/>
      <c r="L215" s="55">
        <f t="shared" si="151"/>
        <v>0</v>
      </c>
      <c r="M215" s="56" t="e">
        <f t="shared" si="139"/>
        <v>#DIV/0!</v>
      </c>
      <c r="N215" s="100" t="e">
        <f t="shared" si="152"/>
        <v>#DIV/0!</v>
      </c>
      <c r="O215" s="57" t="e">
        <f t="shared" ref="O215" si="156">G215*12/CurMonths/$O$12</f>
        <v>#DIV/0!</v>
      </c>
      <c r="P215" s="101" t="e">
        <f t="shared" si="154"/>
        <v>#DIV/0!</v>
      </c>
      <c r="Q215" s="287"/>
      <c r="R215" s="101" t="e">
        <f t="shared" si="155"/>
        <v>#DIV/0!</v>
      </c>
      <c r="S215" s="103"/>
      <c r="T215" s="86"/>
      <c r="U215" s="93"/>
      <c r="V215" s="99"/>
    </row>
    <row r="216" spans="2:22">
      <c r="B216" s="55"/>
      <c r="C216" s="55" t="s">
        <v>160</v>
      </c>
      <c r="D216" s="50"/>
      <c r="E216" s="52"/>
      <c r="F216" s="52" t="s">
        <v>160</v>
      </c>
      <c r="G216" s="273"/>
      <c r="H216" s="273"/>
      <c r="I216" s="273"/>
      <c r="J216" s="55">
        <f t="shared" si="150"/>
        <v>0</v>
      </c>
      <c r="K216" s="273"/>
      <c r="L216" s="55">
        <f t="shared" si="151"/>
        <v>0</v>
      </c>
      <c r="M216" s="56" t="e">
        <f t="shared" si="139"/>
        <v>#DIV/0!</v>
      </c>
      <c r="N216" s="100" t="e">
        <f t="shared" si="152"/>
        <v>#DIV/0!</v>
      </c>
      <c r="O216" s="57" t="e">
        <f t="shared" ref="O216" si="157">G216*12/CurMonths/$O$12</f>
        <v>#DIV/0!</v>
      </c>
      <c r="P216" s="101" t="e">
        <f t="shared" si="154"/>
        <v>#DIV/0!</v>
      </c>
      <c r="Q216" s="287"/>
      <c r="R216" s="101" t="e">
        <f t="shared" si="155"/>
        <v>#DIV/0!</v>
      </c>
      <c r="S216" s="103"/>
      <c r="T216" s="86"/>
      <c r="U216" s="93"/>
      <c r="V216" s="99"/>
    </row>
    <row r="217" spans="2:22">
      <c r="B217" s="55"/>
      <c r="C217" s="55" t="s">
        <v>245</v>
      </c>
      <c r="D217" s="50"/>
      <c r="E217" s="52"/>
      <c r="F217" s="52" t="s">
        <v>245</v>
      </c>
      <c r="G217" s="273"/>
      <c r="H217" s="273"/>
      <c r="I217" s="273"/>
      <c r="J217" s="55">
        <f t="shared" si="150"/>
        <v>0</v>
      </c>
      <c r="K217" s="273"/>
      <c r="L217" s="55">
        <f t="shared" si="151"/>
        <v>0</v>
      </c>
      <c r="M217" s="56" t="e">
        <f t="shared" si="139"/>
        <v>#DIV/0!</v>
      </c>
      <c r="N217" s="100" t="e">
        <f t="shared" si="152"/>
        <v>#DIV/0!</v>
      </c>
      <c r="O217" s="57" t="e">
        <f t="shared" ref="O217" si="158">G217*12/CurMonths/$O$12</f>
        <v>#DIV/0!</v>
      </c>
      <c r="P217" s="101" t="e">
        <f t="shared" si="154"/>
        <v>#DIV/0!</v>
      </c>
      <c r="Q217" s="287"/>
      <c r="R217" s="101" t="e">
        <f t="shared" si="155"/>
        <v>#DIV/0!</v>
      </c>
      <c r="S217" s="103"/>
      <c r="T217" s="86"/>
      <c r="U217" s="93"/>
      <c r="V217" s="99"/>
    </row>
    <row r="218" spans="2:22">
      <c r="B218" s="55"/>
      <c r="C218" s="55" t="s">
        <v>51</v>
      </c>
      <c r="D218" s="50"/>
      <c r="E218" s="52"/>
      <c r="F218" s="52" t="s">
        <v>51</v>
      </c>
      <c r="G218" s="273"/>
      <c r="H218" s="273"/>
      <c r="I218" s="273"/>
      <c r="J218" s="55">
        <f t="shared" si="150"/>
        <v>0</v>
      </c>
      <c r="K218" s="273"/>
      <c r="L218" s="55">
        <f t="shared" si="151"/>
        <v>0</v>
      </c>
      <c r="M218" s="56" t="e">
        <f t="shared" si="139"/>
        <v>#DIV/0!</v>
      </c>
      <c r="N218" s="100" t="e">
        <f t="shared" si="152"/>
        <v>#DIV/0!</v>
      </c>
      <c r="O218" s="57" t="e">
        <f t="shared" ref="O218" si="159">G218*12/CurMonths/$O$12</f>
        <v>#DIV/0!</v>
      </c>
      <c r="P218" s="101" t="e">
        <f t="shared" si="154"/>
        <v>#DIV/0!</v>
      </c>
      <c r="Q218" s="287"/>
      <c r="R218" s="101" t="e">
        <f t="shared" si="155"/>
        <v>#DIV/0!</v>
      </c>
      <c r="S218" s="103"/>
      <c r="T218" s="86"/>
      <c r="U218" s="93"/>
      <c r="V218" s="99"/>
    </row>
    <row r="219" spans="2:22">
      <c r="B219" s="55"/>
      <c r="C219" s="55" t="s">
        <v>266</v>
      </c>
      <c r="D219" s="50"/>
      <c r="E219" s="52"/>
      <c r="F219" s="52" t="s">
        <v>266</v>
      </c>
      <c r="G219" s="273"/>
      <c r="H219" s="273"/>
      <c r="I219" s="273"/>
      <c r="J219" s="55">
        <f t="shared" si="150"/>
        <v>0</v>
      </c>
      <c r="K219" s="273"/>
      <c r="L219" s="55">
        <f t="shared" si="151"/>
        <v>0</v>
      </c>
      <c r="M219" s="56" t="e">
        <f t="shared" si="139"/>
        <v>#DIV/0!</v>
      </c>
      <c r="N219" s="100" t="e">
        <f t="shared" si="152"/>
        <v>#DIV/0!</v>
      </c>
      <c r="O219" s="57" t="e">
        <f t="shared" ref="O219" si="160">G219*12/CurMonths/$O$12</f>
        <v>#DIV/0!</v>
      </c>
      <c r="P219" s="101" t="e">
        <f t="shared" si="154"/>
        <v>#DIV/0!</v>
      </c>
      <c r="Q219" s="287"/>
      <c r="R219" s="101" t="e">
        <f t="shared" si="155"/>
        <v>#DIV/0!</v>
      </c>
      <c r="S219" s="103"/>
      <c r="T219" s="86"/>
      <c r="U219" s="93"/>
      <c r="V219" s="99"/>
    </row>
    <row r="220" spans="2:22">
      <c r="B220" s="258"/>
      <c r="C220" s="258"/>
      <c r="D220" s="44" t="s">
        <v>267</v>
      </c>
      <c r="E220" s="45"/>
      <c r="F220" s="45"/>
      <c r="G220" s="258">
        <f>SUM(G221:G239)</f>
        <v>0</v>
      </c>
      <c r="H220" s="258"/>
      <c r="I220" s="258"/>
      <c r="J220" s="258">
        <f>SUM(J221:J239)</f>
        <v>0</v>
      </c>
      <c r="K220" s="258">
        <f>SUM(K221:K239)</f>
        <v>0</v>
      </c>
      <c r="L220" s="258">
        <f>SUM(L221:L239)</f>
        <v>0</v>
      </c>
      <c r="M220" s="259" t="e">
        <f t="shared" si="139"/>
        <v>#DIV/0!</v>
      </c>
      <c r="N220" s="47"/>
      <c r="O220" s="47"/>
      <c r="P220" s="47"/>
      <c r="Q220" s="47"/>
      <c r="R220" s="47"/>
      <c r="S220" s="251"/>
      <c r="T220" s="227"/>
      <c r="U220" s="79"/>
      <c r="V220" s="80"/>
    </row>
    <row r="221" spans="2:22">
      <c r="B221" s="55"/>
      <c r="C221" s="55" t="s">
        <v>39</v>
      </c>
      <c r="D221" s="50"/>
      <c r="E221" s="52"/>
      <c r="F221" s="52" t="s">
        <v>39</v>
      </c>
      <c r="G221" s="273"/>
      <c r="H221" s="273"/>
      <c r="I221" s="273"/>
      <c r="J221" s="55">
        <f t="shared" ref="J221:J239" si="161">G221+H221-I221</f>
        <v>0</v>
      </c>
      <c r="K221" s="273"/>
      <c r="L221" s="55">
        <f t="shared" ref="L221:L245" si="162">J221-K221</f>
        <v>0</v>
      </c>
      <c r="M221" s="56" t="e">
        <f t="shared" si="139"/>
        <v>#DIV/0!</v>
      </c>
      <c r="N221" s="100" t="e">
        <f t="shared" ref="N221:N239" si="163">G221/$N$12</f>
        <v>#DIV/0!</v>
      </c>
      <c r="O221" s="57" t="e">
        <f t="shared" ref="O221" si="164">G221*12/CurMonths/$O$12</f>
        <v>#DIV/0!</v>
      </c>
      <c r="P221" s="101" t="e">
        <f t="shared" ref="P221:P239" si="165">IF(ABS(O221)&gt;100%,"O","X")</f>
        <v>#DIV/0!</v>
      </c>
      <c r="Q221" s="287"/>
      <c r="R221" s="101" t="e">
        <f t="shared" ref="R221:R239" si="166">IF(P221="O","O",IF(Q221="O","O","X"))</f>
        <v>#DIV/0!</v>
      </c>
      <c r="S221" s="103"/>
      <c r="T221" s="86"/>
      <c r="U221" s="93"/>
      <c r="V221" s="99"/>
    </row>
    <row r="222" spans="2:22">
      <c r="B222" s="55"/>
      <c r="C222" s="55" t="s">
        <v>30</v>
      </c>
      <c r="D222" s="50"/>
      <c r="E222" s="52"/>
      <c r="F222" s="52" t="s">
        <v>30</v>
      </c>
      <c r="G222" s="273"/>
      <c r="H222" s="273"/>
      <c r="I222" s="273"/>
      <c r="J222" s="55">
        <f t="shared" si="161"/>
        <v>0</v>
      </c>
      <c r="K222" s="273"/>
      <c r="L222" s="55">
        <f t="shared" si="162"/>
        <v>0</v>
      </c>
      <c r="M222" s="56" t="e">
        <f t="shared" si="139"/>
        <v>#DIV/0!</v>
      </c>
      <c r="N222" s="100" t="e">
        <f t="shared" si="163"/>
        <v>#DIV/0!</v>
      </c>
      <c r="O222" s="57" t="e">
        <f t="shared" ref="O222" si="167">G222*12/CurMonths/$O$12</f>
        <v>#DIV/0!</v>
      </c>
      <c r="P222" s="101" t="e">
        <f t="shared" si="165"/>
        <v>#DIV/0!</v>
      </c>
      <c r="Q222" s="287"/>
      <c r="R222" s="101" t="e">
        <f t="shared" si="166"/>
        <v>#DIV/0!</v>
      </c>
      <c r="S222" s="103"/>
      <c r="T222" s="86"/>
      <c r="U222" s="93"/>
      <c r="V222" s="99"/>
    </row>
    <row r="223" spans="2:22">
      <c r="B223" s="55"/>
      <c r="C223" s="55" t="s">
        <v>31</v>
      </c>
      <c r="D223" s="50"/>
      <c r="E223" s="52"/>
      <c r="F223" s="52" t="s">
        <v>31</v>
      </c>
      <c r="G223" s="273"/>
      <c r="H223" s="273"/>
      <c r="I223" s="273"/>
      <c r="J223" s="55">
        <f t="shared" si="161"/>
        <v>0</v>
      </c>
      <c r="K223" s="273"/>
      <c r="L223" s="55">
        <f t="shared" si="162"/>
        <v>0</v>
      </c>
      <c r="M223" s="56" t="e">
        <f t="shared" si="139"/>
        <v>#DIV/0!</v>
      </c>
      <c r="N223" s="100" t="e">
        <f t="shared" si="163"/>
        <v>#DIV/0!</v>
      </c>
      <c r="O223" s="57" t="e">
        <f t="shared" ref="O223" si="168">G223*12/CurMonths/$O$12</f>
        <v>#DIV/0!</v>
      </c>
      <c r="P223" s="101" t="e">
        <f t="shared" si="165"/>
        <v>#DIV/0!</v>
      </c>
      <c r="Q223" s="287"/>
      <c r="R223" s="101" t="e">
        <f t="shared" si="166"/>
        <v>#DIV/0!</v>
      </c>
      <c r="S223" s="103"/>
      <c r="T223" s="86"/>
      <c r="U223" s="93"/>
      <c r="V223" s="99"/>
    </row>
    <row r="224" spans="2:22">
      <c r="B224" s="55"/>
      <c r="C224" s="55" t="s">
        <v>32</v>
      </c>
      <c r="D224" s="50"/>
      <c r="E224" s="52"/>
      <c r="F224" s="52" t="s">
        <v>32</v>
      </c>
      <c r="G224" s="273"/>
      <c r="H224" s="273"/>
      <c r="I224" s="273"/>
      <c r="J224" s="55">
        <f t="shared" si="161"/>
        <v>0</v>
      </c>
      <c r="K224" s="273"/>
      <c r="L224" s="55">
        <f t="shared" si="162"/>
        <v>0</v>
      </c>
      <c r="M224" s="56" t="e">
        <f t="shared" si="139"/>
        <v>#DIV/0!</v>
      </c>
      <c r="N224" s="100" t="e">
        <f t="shared" si="163"/>
        <v>#DIV/0!</v>
      </c>
      <c r="O224" s="57" t="e">
        <f t="shared" ref="O224" si="169">G224*12/CurMonths/$O$12</f>
        <v>#DIV/0!</v>
      </c>
      <c r="P224" s="101" t="e">
        <f t="shared" si="165"/>
        <v>#DIV/0!</v>
      </c>
      <c r="Q224" s="287"/>
      <c r="R224" s="101" t="e">
        <f t="shared" si="166"/>
        <v>#DIV/0!</v>
      </c>
      <c r="S224" s="103"/>
      <c r="T224" s="86"/>
      <c r="U224" s="93"/>
      <c r="V224" s="99"/>
    </row>
    <row r="225" spans="2:22">
      <c r="B225" s="55"/>
      <c r="C225" s="55" t="s">
        <v>60</v>
      </c>
      <c r="D225" s="50"/>
      <c r="E225" s="52"/>
      <c r="F225" s="52" t="s">
        <v>60</v>
      </c>
      <c r="G225" s="273"/>
      <c r="H225" s="273"/>
      <c r="I225" s="273"/>
      <c r="J225" s="55">
        <f t="shared" si="161"/>
        <v>0</v>
      </c>
      <c r="K225" s="273"/>
      <c r="L225" s="55">
        <f t="shared" si="162"/>
        <v>0</v>
      </c>
      <c r="M225" s="56" t="e">
        <f t="shared" si="139"/>
        <v>#DIV/0!</v>
      </c>
      <c r="N225" s="100" t="e">
        <f t="shared" si="163"/>
        <v>#DIV/0!</v>
      </c>
      <c r="O225" s="57" t="e">
        <f t="shared" ref="O225" si="170">G225*12/CurMonths/$O$12</f>
        <v>#DIV/0!</v>
      </c>
      <c r="P225" s="101" t="e">
        <f t="shared" si="165"/>
        <v>#DIV/0!</v>
      </c>
      <c r="Q225" s="287"/>
      <c r="R225" s="101" t="e">
        <f t="shared" si="166"/>
        <v>#DIV/0!</v>
      </c>
      <c r="S225" s="103"/>
      <c r="T225" s="86"/>
      <c r="U225" s="93"/>
      <c r="V225" s="99"/>
    </row>
    <row r="226" spans="2:22">
      <c r="B226" s="55"/>
      <c r="C226" s="55" t="s">
        <v>161</v>
      </c>
      <c r="D226" s="50"/>
      <c r="E226" s="52"/>
      <c r="F226" s="52" t="s">
        <v>161</v>
      </c>
      <c r="G226" s="273"/>
      <c r="H226" s="273"/>
      <c r="I226" s="273"/>
      <c r="J226" s="55">
        <f t="shared" si="161"/>
        <v>0</v>
      </c>
      <c r="K226" s="273"/>
      <c r="L226" s="55">
        <f t="shared" si="162"/>
        <v>0</v>
      </c>
      <c r="M226" s="56" t="e">
        <f t="shared" si="139"/>
        <v>#DIV/0!</v>
      </c>
      <c r="N226" s="100" t="e">
        <f t="shared" si="163"/>
        <v>#DIV/0!</v>
      </c>
      <c r="O226" s="57" t="e">
        <f t="shared" ref="O226" si="171">G226*12/CurMonths/$O$12</f>
        <v>#DIV/0!</v>
      </c>
      <c r="P226" s="101" t="e">
        <f t="shared" si="165"/>
        <v>#DIV/0!</v>
      </c>
      <c r="Q226" s="287"/>
      <c r="R226" s="101" t="e">
        <f t="shared" si="166"/>
        <v>#DIV/0!</v>
      </c>
      <c r="S226" s="103"/>
      <c r="T226" s="86"/>
      <c r="U226" s="93"/>
      <c r="V226" s="99"/>
    </row>
    <row r="227" spans="2:22">
      <c r="B227" s="55"/>
      <c r="C227" s="55" t="s">
        <v>52</v>
      </c>
      <c r="D227" s="50"/>
      <c r="E227" s="52"/>
      <c r="F227" s="52" t="s">
        <v>52</v>
      </c>
      <c r="G227" s="273"/>
      <c r="H227" s="273"/>
      <c r="I227" s="273"/>
      <c r="J227" s="55">
        <f t="shared" si="161"/>
        <v>0</v>
      </c>
      <c r="K227" s="273"/>
      <c r="L227" s="55">
        <f t="shared" si="162"/>
        <v>0</v>
      </c>
      <c r="M227" s="56" t="e">
        <f t="shared" si="139"/>
        <v>#DIV/0!</v>
      </c>
      <c r="N227" s="100" t="e">
        <f t="shared" si="163"/>
        <v>#DIV/0!</v>
      </c>
      <c r="O227" s="57" t="e">
        <f t="shared" ref="O227" si="172">G227*12/CurMonths/$O$12</f>
        <v>#DIV/0!</v>
      </c>
      <c r="P227" s="101" t="e">
        <f t="shared" si="165"/>
        <v>#DIV/0!</v>
      </c>
      <c r="Q227" s="287"/>
      <c r="R227" s="101" t="e">
        <f t="shared" si="166"/>
        <v>#DIV/0!</v>
      </c>
      <c r="S227" s="103"/>
      <c r="T227" s="86"/>
      <c r="U227" s="93"/>
      <c r="V227" s="99"/>
    </row>
    <row r="228" spans="2:22">
      <c r="B228" s="55"/>
      <c r="C228" s="55" t="s">
        <v>88</v>
      </c>
      <c r="D228" s="50"/>
      <c r="E228" s="52"/>
      <c r="F228" s="52" t="s">
        <v>88</v>
      </c>
      <c r="G228" s="273"/>
      <c r="H228" s="273"/>
      <c r="I228" s="273"/>
      <c r="J228" s="55">
        <f t="shared" si="161"/>
        <v>0</v>
      </c>
      <c r="K228" s="273"/>
      <c r="L228" s="55">
        <f t="shared" si="162"/>
        <v>0</v>
      </c>
      <c r="M228" s="56" t="e">
        <f t="shared" si="139"/>
        <v>#DIV/0!</v>
      </c>
      <c r="N228" s="100" t="e">
        <f t="shared" si="163"/>
        <v>#DIV/0!</v>
      </c>
      <c r="O228" s="57" t="e">
        <f t="shared" ref="O228" si="173">G228*12/CurMonths/$O$12</f>
        <v>#DIV/0!</v>
      </c>
      <c r="P228" s="101" t="e">
        <f t="shared" si="165"/>
        <v>#DIV/0!</v>
      </c>
      <c r="Q228" s="287"/>
      <c r="R228" s="101" t="e">
        <f t="shared" si="166"/>
        <v>#DIV/0!</v>
      </c>
      <c r="S228" s="103"/>
      <c r="T228" s="86"/>
      <c r="U228" s="93"/>
      <c r="V228" s="99"/>
    </row>
    <row r="229" spans="2:22">
      <c r="B229" s="55"/>
      <c r="C229" s="55" t="s">
        <v>33</v>
      </c>
      <c r="D229" s="50"/>
      <c r="E229" s="52"/>
      <c r="F229" s="52" t="s">
        <v>33</v>
      </c>
      <c r="G229" s="273"/>
      <c r="H229" s="273"/>
      <c r="I229" s="273"/>
      <c r="J229" s="55">
        <f t="shared" si="161"/>
        <v>0</v>
      </c>
      <c r="K229" s="273"/>
      <c r="L229" s="55">
        <f t="shared" si="162"/>
        <v>0</v>
      </c>
      <c r="M229" s="56" t="e">
        <f t="shared" si="139"/>
        <v>#DIV/0!</v>
      </c>
      <c r="N229" s="100" t="e">
        <f t="shared" si="163"/>
        <v>#DIV/0!</v>
      </c>
      <c r="O229" s="57" t="e">
        <f t="shared" ref="O229" si="174">G229*12/CurMonths/$O$12</f>
        <v>#DIV/0!</v>
      </c>
      <c r="P229" s="101" t="e">
        <f t="shared" si="165"/>
        <v>#DIV/0!</v>
      </c>
      <c r="Q229" s="287"/>
      <c r="R229" s="101" t="e">
        <f t="shared" si="166"/>
        <v>#DIV/0!</v>
      </c>
      <c r="S229" s="103"/>
      <c r="T229" s="86"/>
      <c r="U229" s="93"/>
      <c r="V229" s="99"/>
    </row>
    <row r="230" spans="2:22">
      <c r="B230" s="55"/>
      <c r="C230" s="55" t="s">
        <v>34</v>
      </c>
      <c r="D230" s="50"/>
      <c r="E230" s="52"/>
      <c r="F230" s="52" t="s">
        <v>34</v>
      </c>
      <c r="G230" s="273"/>
      <c r="H230" s="273"/>
      <c r="I230" s="273"/>
      <c r="J230" s="55">
        <f t="shared" si="161"/>
        <v>0</v>
      </c>
      <c r="K230" s="273"/>
      <c r="L230" s="55">
        <f t="shared" si="162"/>
        <v>0</v>
      </c>
      <c r="M230" s="56" t="e">
        <f t="shared" si="139"/>
        <v>#DIV/0!</v>
      </c>
      <c r="N230" s="100" t="e">
        <f t="shared" si="163"/>
        <v>#DIV/0!</v>
      </c>
      <c r="O230" s="57" t="e">
        <f t="shared" ref="O230" si="175">G230*12/CurMonths/$O$12</f>
        <v>#DIV/0!</v>
      </c>
      <c r="P230" s="101" t="e">
        <f t="shared" si="165"/>
        <v>#DIV/0!</v>
      </c>
      <c r="Q230" s="287"/>
      <c r="R230" s="101" t="e">
        <f t="shared" si="166"/>
        <v>#DIV/0!</v>
      </c>
      <c r="S230" s="103"/>
      <c r="T230" s="86"/>
      <c r="U230" s="93"/>
      <c r="V230" s="99"/>
    </row>
    <row r="231" spans="2:22">
      <c r="B231" s="55"/>
      <c r="C231" s="55" t="s">
        <v>41</v>
      </c>
      <c r="D231" s="50"/>
      <c r="E231" s="52"/>
      <c r="F231" s="52" t="s">
        <v>41</v>
      </c>
      <c r="G231" s="273"/>
      <c r="H231" s="273"/>
      <c r="I231" s="273"/>
      <c r="J231" s="55">
        <f t="shared" si="161"/>
        <v>0</v>
      </c>
      <c r="K231" s="273"/>
      <c r="L231" s="55">
        <f t="shared" si="162"/>
        <v>0</v>
      </c>
      <c r="M231" s="56" t="e">
        <f t="shared" si="139"/>
        <v>#DIV/0!</v>
      </c>
      <c r="N231" s="100" t="e">
        <f t="shared" si="163"/>
        <v>#DIV/0!</v>
      </c>
      <c r="O231" s="57" t="e">
        <f t="shared" ref="O231" si="176">G231*12/CurMonths/$O$12</f>
        <v>#DIV/0!</v>
      </c>
      <c r="P231" s="101" t="e">
        <f t="shared" si="165"/>
        <v>#DIV/0!</v>
      </c>
      <c r="Q231" s="287"/>
      <c r="R231" s="101" t="e">
        <f t="shared" si="166"/>
        <v>#DIV/0!</v>
      </c>
      <c r="S231" s="103"/>
      <c r="T231" s="86"/>
      <c r="U231" s="93"/>
      <c r="V231" s="99"/>
    </row>
    <row r="232" spans="2:22">
      <c r="B232" s="55"/>
      <c r="C232" s="55" t="s">
        <v>42</v>
      </c>
      <c r="D232" s="50"/>
      <c r="E232" s="52"/>
      <c r="F232" s="52" t="s">
        <v>42</v>
      </c>
      <c r="G232" s="273"/>
      <c r="H232" s="273"/>
      <c r="I232" s="273"/>
      <c r="J232" s="55">
        <f t="shared" si="161"/>
        <v>0</v>
      </c>
      <c r="K232" s="273"/>
      <c r="L232" s="55">
        <f t="shared" si="162"/>
        <v>0</v>
      </c>
      <c r="M232" s="56" t="e">
        <f t="shared" si="139"/>
        <v>#DIV/0!</v>
      </c>
      <c r="N232" s="100" t="e">
        <f t="shared" si="163"/>
        <v>#DIV/0!</v>
      </c>
      <c r="O232" s="57" t="e">
        <f t="shared" ref="O232" si="177">G232*12/CurMonths/$O$12</f>
        <v>#DIV/0!</v>
      </c>
      <c r="P232" s="101" t="e">
        <f t="shared" si="165"/>
        <v>#DIV/0!</v>
      </c>
      <c r="Q232" s="287"/>
      <c r="R232" s="101" t="e">
        <f t="shared" si="166"/>
        <v>#DIV/0!</v>
      </c>
      <c r="S232" s="103"/>
      <c r="T232" s="86"/>
      <c r="U232" s="93"/>
      <c r="V232" s="99"/>
    </row>
    <row r="233" spans="2:22">
      <c r="B233" s="55"/>
      <c r="C233" s="55" t="s">
        <v>35</v>
      </c>
      <c r="D233" s="50"/>
      <c r="E233" s="52"/>
      <c r="F233" s="52" t="s">
        <v>35</v>
      </c>
      <c r="G233" s="273"/>
      <c r="H233" s="273"/>
      <c r="I233" s="273"/>
      <c r="J233" s="55">
        <f t="shared" si="161"/>
        <v>0</v>
      </c>
      <c r="K233" s="273"/>
      <c r="L233" s="55">
        <f t="shared" si="162"/>
        <v>0</v>
      </c>
      <c r="M233" s="56" t="e">
        <f t="shared" si="139"/>
        <v>#DIV/0!</v>
      </c>
      <c r="N233" s="100" t="e">
        <f t="shared" si="163"/>
        <v>#DIV/0!</v>
      </c>
      <c r="O233" s="57" t="e">
        <f t="shared" ref="O233" si="178">G233*12/CurMonths/$O$12</f>
        <v>#DIV/0!</v>
      </c>
      <c r="P233" s="101" t="e">
        <f t="shared" si="165"/>
        <v>#DIV/0!</v>
      </c>
      <c r="Q233" s="287"/>
      <c r="R233" s="101" t="e">
        <f t="shared" si="166"/>
        <v>#DIV/0!</v>
      </c>
      <c r="S233" s="103"/>
      <c r="T233" s="86"/>
      <c r="U233" s="93"/>
      <c r="V233" s="99"/>
    </row>
    <row r="234" spans="2:22">
      <c r="B234" s="55"/>
      <c r="C234" s="55" t="s">
        <v>40</v>
      </c>
      <c r="D234" s="50"/>
      <c r="E234" s="52"/>
      <c r="F234" s="52" t="s">
        <v>40</v>
      </c>
      <c r="G234" s="273"/>
      <c r="H234" s="273"/>
      <c r="I234" s="273"/>
      <c r="J234" s="55">
        <f t="shared" si="161"/>
        <v>0</v>
      </c>
      <c r="K234" s="273"/>
      <c r="L234" s="55">
        <f t="shared" si="162"/>
        <v>0</v>
      </c>
      <c r="M234" s="56" t="e">
        <f t="shared" si="139"/>
        <v>#DIV/0!</v>
      </c>
      <c r="N234" s="100" t="e">
        <f t="shared" si="163"/>
        <v>#DIV/0!</v>
      </c>
      <c r="O234" s="57" t="e">
        <f t="shared" ref="O234" si="179">G234*12/CurMonths/$O$12</f>
        <v>#DIV/0!</v>
      </c>
      <c r="P234" s="101" t="e">
        <f t="shared" si="165"/>
        <v>#DIV/0!</v>
      </c>
      <c r="Q234" s="287"/>
      <c r="R234" s="101" t="e">
        <f t="shared" si="166"/>
        <v>#DIV/0!</v>
      </c>
      <c r="S234" s="103"/>
      <c r="T234" s="86"/>
      <c r="U234" s="93"/>
      <c r="V234" s="99"/>
    </row>
    <row r="235" spans="2:22">
      <c r="B235" s="55"/>
      <c r="C235" s="55" t="s">
        <v>37</v>
      </c>
      <c r="D235" s="50"/>
      <c r="E235" s="52"/>
      <c r="F235" s="52" t="s">
        <v>37</v>
      </c>
      <c r="G235" s="273"/>
      <c r="H235" s="273"/>
      <c r="I235" s="273"/>
      <c r="J235" s="55">
        <f t="shared" si="161"/>
        <v>0</v>
      </c>
      <c r="K235" s="273"/>
      <c r="L235" s="55">
        <f t="shared" si="162"/>
        <v>0</v>
      </c>
      <c r="M235" s="56" t="e">
        <f t="shared" si="139"/>
        <v>#DIV/0!</v>
      </c>
      <c r="N235" s="100" t="e">
        <f t="shared" si="163"/>
        <v>#DIV/0!</v>
      </c>
      <c r="O235" s="57" t="e">
        <f t="shared" ref="O235" si="180">G235*12/CurMonths/$O$12</f>
        <v>#DIV/0!</v>
      </c>
      <c r="P235" s="101" t="e">
        <f t="shared" si="165"/>
        <v>#DIV/0!</v>
      </c>
      <c r="Q235" s="287"/>
      <c r="R235" s="101" t="e">
        <f t="shared" si="166"/>
        <v>#DIV/0!</v>
      </c>
      <c r="S235" s="103"/>
      <c r="T235" s="86"/>
      <c r="U235" s="93"/>
      <c r="V235" s="99"/>
    </row>
    <row r="236" spans="2:22">
      <c r="B236" s="55"/>
      <c r="C236" s="55" t="s">
        <v>36</v>
      </c>
      <c r="D236" s="50"/>
      <c r="E236" s="52"/>
      <c r="F236" s="52" t="s">
        <v>36</v>
      </c>
      <c r="G236" s="273"/>
      <c r="H236" s="273"/>
      <c r="I236" s="273"/>
      <c r="J236" s="55">
        <f t="shared" si="161"/>
        <v>0</v>
      </c>
      <c r="K236" s="273"/>
      <c r="L236" s="55">
        <f t="shared" si="162"/>
        <v>0</v>
      </c>
      <c r="M236" s="56" t="e">
        <f t="shared" si="139"/>
        <v>#DIV/0!</v>
      </c>
      <c r="N236" s="100" t="e">
        <f t="shared" si="163"/>
        <v>#DIV/0!</v>
      </c>
      <c r="O236" s="57" t="e">
        <f t="shared" ref="O236" si="181">G236*12/CurMonths/$O$12</f>
        <v>#DIV/0!</v>
      </c>
      <c r="P236" s="101" t="e">
        <f t="shared" si="165"/>
        <v>#DIV/0!</v>
      </c>
      <c r="Q236" s="287"/>
      <c r="R236" s="101" t="e">
        <f t="shared" si="166"/>
        <v>#DIV/0!</v>
      </c>
      <c r="S236" s="103"/>
      <c r="T236" s="86"/>
      <c r="U236" s="93"/>
      <c r="V236" s="99"/>
    </row>
    <row r="237" spans="2:22">
      <c r="B237" s="55"/>
      <c r="C237" s="55" t="s">
        <v>248</v>
      </c>
      <c r="D237" s="50"/>
      <c r="E237" s="52"/>
      <c r="F237" s="52" t="s">
        <v>248</v>
      </c>
      <c r="G237" s="273"/>
      <c r="H237" s="273"/>
      <c r="I237" s="273"/>
      <c r="J237" s="55">
        <f t="shared" si="161"/>
        <v>0</v>
      </c>
      <c r="K237" s="273"/>
      <c r="L237" s="55">
        <f t="shared" si="162"/>
        <v>0</v>
      </c>
      <c r="M237" s="56" t="e">
        <f t="shared" si="139"/>
        <v>#DIV/0!</v>
      </c>
      <c r="N237" s="100" t="e">
        <f t="shared" si="163"/>
        <v>#DIV/0!</v>
      </c>
      <c r="O237" s="57" t="e">
        <f t="shared" ref="O237" si="182">G237*12/CurMonths/$O$12</f>
        <v>#DIV/0!</v>
      </c>
      <c r="P237" s="101" t="e">
        <f t="shared" si="165"/>
        <v>#DIV/0!</v>
      </c>
      <c r="Q237" s="287"/>
      <c r="R237" s="101" t="e">
        <f t="shared" si="166"/>
        <v>#DIV/0!</v>
      </c>
      <c r="S237" s="103"/>
      <c r="T237" s="86"/>
      <c r="U237" s="93"/>
      <c r="V237" s="99"/>
    </row>
    <row r="238" spans="2:22">
      <c r="B238" s="55"/>
      <c r="C238" s="55" t="s">
        <v>268</v>
      </c>
      <c r="D238" s="50"/>
      <c r="E238" s="52"/>
      <c r="F238" s="52" t="s">
        <v>268</v>
      </c>
      <c r="G238" s="273"/>
      <c r="H238" s="273"/>
      <c r="I238" s="273"/>
      <c r="J238" s="55">
        <f t="shared" si="161"/>
        <v>0</v>
      </c>
      <c r="K238" s="273"/>
      <c r="L238" s="55">
        <f t="shared" si="162"/>
        <v>0</v>
      </c>
      <c r="M238" s="56" t="e">
        <f t="shared" si="139"/>
        <v>#DIV/0!</v>
      </c>
      <c r="N238" s="100" t="e">
        <f t="shared" si="163"/>
        <v>#DIV/0!</v>
      </c>
      <c r="O238" s="57" t="e">
        <f t="shared" ref="O238" si="183">G238*12/CurMonths/$O$12</f>
        <v>#DIV/0!</v>
      </c>
      <c r="P238" s="101" t="e">
        <f t="shared" si="165"/>
        <v>#DIV/0!</v>
      </c>
      <c r="Q238" s="287"/>
      <c r="R238" s="101" t="e">
        <f t="shared" si="166"/>
        <v>#DIV/0!</v>
      </c>
      <c r="S238" s="103"/>
      <c r="T238" s="86"/>
      <c r="U238" s="93"/>
      <c r="V238" s="99"/>
    </row>
    <row r="239" spans="2:22">
      <c r="B239" s="55"/>
      <c r="C239" s="55" t="s">
        <v>269</v>
      </c>
      <c r="D239" s="50"/>
      <c r="E239" s="52"/>
      <c r="F239" s="52" t="s">
        <v>269</v>
      </c>
      <c r="G239" s="273"/>
      <c r="H239" s="273"/>
      <c r="I239" s="273"/>
      <c r="J239" s="55">
        <f t="shared" si="161"/>
        <v>0</v>
      </c>
      <c r="K239" s="273"/>
      <c r="L239" s="55">
        <f t="shared" si="162"/>
        <v>0</v>
      </c>
      <c r="M239" s="56" t="e">
        <f t="shared" si="139"/>
        <v>#DIV/0!</v>
      </c>
      <c r="N239" s="100" t="e">
        <f t="shared" si="163"/>
        <v>#DIV/0!</v>
      </c>
      <c r="O239" s="57" t="e">
        <f t="shared" ref="O239" si="184">G239*12/CurMonths/$O$12</f>
        <v>#DIV/0!</v>
      </c>
      <c r="P239" s="101" t="e">
        <f t="shared" si="165"/>
        <v>#DIV/0!</v>
      </c>
      <c r="Q239" s="287"/>
      <c r="R239" s="101" t="e">
        <f t="shared" si="166"/>
        <v>#DIV/0!</v>
      </c>
      <c r="S239" s="103"/>
      <c r="T239" s="86"/>
      <c r="U239" s="93"/>
      <c r="V239" s="99"/>
    </row>
    <row r="240" spans="2:22">
      <c r="B240" s="258"/>
      <c r="C240" s="258"/>
      <c r="D240" s="44" t="s">
        <v>270</v>
      </c>
      <c r="E240" s="45"/>
      <c r="F240" s="45"/>
      <c r="G240" s="258">
        <f>G207+G213+G220</f>
        <v>0</v>
      </c>
      <c r="H240" s="258"/>
      <c r="I240" s="258"/>
      <c r="J240" s="258">
        <f>J207+J213+J220</f>
        <v>0</v>
      </c>
      <c r="K240" s="258">
        <f>K207+K213+K220</f>
        <v>0</v>
      </c>
      <c r="L240" s="258">
        <f>L207+L213+L220</f>
        <v>0</v>
      </c>
      <c r="M240" s="259" t="e">
        <f t="shared" si="139"/>
        <v>#DIV/0!</v>
      </c>
      <c r="N240" s="47"/>
      <c r="O240" s="47"/>
      <c r="P240" s="47"/>
      <c r="Q240" s="47"/>
      <c r="R240" s="47"/>
      <c r="S240" s="251"/>
      <c r="T240" s="226"/>
      <c r="U240" s="68"/>
      <c r="V240" s="11"/>
    </row>
    <row r="241" spans="1:22">
      <c r="B241" s="51"/>
      <c r="C241" s="51"/>
      <c r="D241" s="44" t="s">
        <v>271</v>
      </c>
      <c r="E241" s="45"/>
      <c r="F241" s="45"/>
      <c r="G241" s="282"/>
      <c r="H241" s="282"/>
      <c r="I241" s="282"/>
      <c r="J241" s="62">
        <f>G241+H241-I241</f>
        <v>0</v>
      </c>
      <c r="K241" s="282"/>
      <c r="L241" s="62">
        <f t="shared" si="162"/>
        <v>0</v>
      </c>
      <c r="M241" s="47" t="e">
        <f t="shared" si="139"/>
        <v>#DIV/0!</v>
      </c>
      <c r="N241" s="47"/>
      <c r="O241" s="47"/>
      <c r="P241" s="47"/>
      <c r="Q241" s="288"/>
      <c r="R241" s="47"/>
      <c r="S241" s="251"/>
      <c r="T241" s="226"/>
      <c r="U241" s="102"/>
      <c r="V241" s="6"/>
    </row>
    <row r="242" spans="1:22">
      <c r="B242" s="51"/>
      <c r="C242" s="51"/>
      <c r="D242" s="44" t="s">
        <v>156</v>
      </c>
      <c r="E242" s="45"/>
      <c r="F242" s="45"/>
      <c r="G242" s="282"/>
      <c r="H242" s="282"/>
      <c r="I242" s="282"/>
      <c r="J242" s="62">
        <f>G242+H242-I242</f>
        <v>0</v>
      </c>
      <c r="K242" s="282"/>
      <c r="L242" s="62">
        <f t="shared" si="162"/>
        <v>0</v>
      </c>
      <c r="M242" s="47" t="e">
        <f t="shared" si="139"/>
        <v>#DIV/0!</v>
      </c>
      <c r="N242" s="47"/>
      <c r="O242" s="47"/>
      <c r="P242" s="47"/>
      <c r="Q242" s="288"/>
      <c r="R242" s="47"/>
      <c r="S242" s="251"/>
      <c r="T242" s="226"/>
      <c r="U242" s="102"/>
      <c r="V242" s="6"/>
    </row>
    <row r="243" spans="1:22">
      <c r="B243" s="51"/>
      <c r="C243" s="51"/>
      <c r="D243" s="44" t="s">
        <v>272</v>
      </c>
      <c r="E243" s="45"/>
      <c r="F243" s="45"/>
      <c r="G243" s="282"/>
      <c r="H243" s="282"/>
      <c r="I243" s="282"/>
      <c r="J243" s="62">
        <f>G243+H243-I243</f>
        <v>0</v>
      </c>
      <c r="K243" s="282"/>
      <c r="L243" s="62">
        <f t="shared" si="162"/>
        <v>0</v>
      </c>
      <c r="M243" s="47" t="e">
        <f t="shared" si="139"/>
        <v>#DIV/0!</v>
      </c>
      <c r="N243" s="47"/>
      <c r="O243" s="47"/>
      <c r="P243" s="47"/>
      <c r="Q243" s="288"/>
      <c r="R243" s="47"/>
      <c r="S243" s="251"/>
      <c r="T243" s="226"/>
      <c r="U243" s="102"/>
      <c r="V243" s="6"/>
    </row>
    <row r="244" spans="1:22">
      <c r="B244" s="51"/>
      <c r="C244" s="51"/>
      <c r="D244" s="44" t="s">
        <v>157</v>
      </c>
      <c r="E244" s="45"/>
      <c r="F244" s="45"/>
      <c r="G244" s="282"/>
      <c r="H244" s="282"/>
      <c r="I244" s="282"/>
      <c r="J244" s="62">
        <f>G244+H244-I244</f>
        <v>0</v>
      </c>
      <c r="K244" s="282"/>
      <c r="L244" s="62">
        <f t="shared" si="162"/>
        <v>0</v>
      </c>
      <c r="M244" s="47" t="e">
        <f t="shared" si="139"/>
        <v>#DIV/0!</v>
      </c>
      <c r="N244" s="47"/>
      <c r="O244" s="47"/>
      <c r="P244" s="47"/>
      <c r="Q244" s="288"/>
      <c r="R244" s="47"/>
      <c r="S244" s="251"/>
      <c r="T244" s="226"/>
      <c r="U244" s="102"/>
      <c r="V244" s="6"/>
    </row>
    <row r="245" spans="1:22">
      <c r="B245" s="258"/>
      <c r="C245" s="258"/>
      <c r="D245" s="44" t="s">
        <v>273</v>
      </c>
      <c r="E245" s="45"/>
      <c r="F245" s="45"/>
      <c r="G245" s="258">
        <f>SUM(G240:G244)</f>
        <v>0</v>
      </c>
      <c r="H245" s="258"/>
      <c r="I245" s="258"/>
      <c r="J245" s="258">
        <f>SUM(J240:J244)</f>
        <v>0</v>
      </c>
      <c r="K245" s="258">
        <f>SUM(K240:K244)</f>
        <v>0</v>
      </c>
      <c r="L245" s="258">
        <f>SUM(L240:L244)</f>
        <v>0</v>
      </c>
      <c r="M245" s="259" t="e">
        <f t="shared" si="139"/>
        <v>#DIV/0!</v>
      </c>
      <c r="N245" s="47"/>
      <c r="O245" s="47"/>
      <c r="P245" s="47"/>
      <c r="Q245" s="47"/>
      <c r="R245" s="47"/>
      <c r="S245" s="251"/>
      <c r="T245" s="226"/>
      <c r="U245" s="102"/>
      <c r="V245" s="29"/>
    </row>
    <row r="246" spans="1:22">
      <c r="B246" s="65"/>
      <c r="C246" s="65"/>
      <c r="D246" s="65"/>
      <c r="E246" s="65"/>
      <c r="F246" s="65"/>
      <c r="G246" s="65" t="b">
        <f>G245=G135</f>
        <v>1</v>
      </c>
      <c r="H246" s="65">
        <f>SUM(H207:H245)</f>
        <v>0</v>
      </c>
      <c r="I246" s="65">
        <f>SUM(I207:I245)</f>
        <v>0</v>
      </c>
      <c r="J246" s="65" t="b">
        <f>J245=J135</f>
        <v>1</v>
      </c>
      <c r="K246" s="29" t="b">
        <f>K245=K135</f>
        <v>1</v>
      </c>
      <c r="L246" s="29"/>
      <c r="M246" s="65"/>
      <c r="N246" s="65"/>
      <c r="O246" s="65"/>
      <c r="P246" s="65"/>
      <c r="Q246" s="65"/>
      <c r="R246" s="65"/>
      <c r="S246" s="65"/>
      <c r="T246" s="65"/>
      <c r="U246" s="102"/>
      <c r="V246" s="11"/>
    </row>
    <row r="248" spans="1:22" ht="13.5" customHeight="1">
      <c r="A248" s="10">
        <v>1</v>
      </c>
      <c r="D248" s="5" t="s">
        <v>274</v>
      </c>
      <c r="J248" s="176"/>
      <c r="K248" s="176"/>
      <c r="L248" s="176"/>
      <c r="M248" s="177"/>
      <c r="N248" s="177"/>
      <c r="O248" s="177"/>
      <c r="P248" s="177"/>
      <c r="Q248" s="29"/>
      <c r="R248" s="29"/>
      <c r="S248" s="29"/>
      <c r="T248" s="29"/>
      <c r="U248" s="29"/>
      <c r="V248" s="29"/>
    </row>
    <row r="249" spans="1:22" ht="13.5" customHeight="1">
      <c r="A249" s="10">
        <v>1</v>
      </c>
      <c r="B249" s="178"/>
      <c r="C249" s="178"/>
      <c r="E249" s="178" t="s">
        <v>275</v>
      </c>
      <c r="F249" s="178"/>
      <c r="G249" s="178"/>
      <c r="H249" s="178"/>
      <c r="I249" s="178"/>
      <c r="J249" s="95"/>
      <c r="K249" s="95"/>
      <c r="L249" s="177"/>
      <c r="M249" s="177"/>
      <c r="N249" s="177"/>
      <c r="O249" s="177"/>
      <c r="P249" s="177"/>
      <c r="Q249" s="29"/>
      <c r="R249" s="29"/>
      <c r="S249" s="29"/>
      <c r="T249" s="29"/>
      <c r="U249" s="29"/>
      <c r="V249" s="29"/>
    </row>
    <row r="250" spans="1:22" ht="13.5" customHeight="1">
      <c r="A250" s="10">
        <v>1</v>
      </c>
      <c r="B250" s="180"/>
      <c r="C250" s="180"/>
      <c r="E250" s="178"/>
      <c r="F250" s="179" t="s">
        <v>276</v>
      </c>
      <c r="G250" s="192">
        <f>$J$12</f>
        <v>0</v>
      </c>
      <c r="H250" s="192">
        <f>$K$12</f>
        <v>0</v>
      </c>
      <c r="I250" s="180" t="s">
        <v>277</v>
      </c>
      <c r="J250" s="181"/>
      <c r="K250" s="312"/>
      <c r="L250" s="312"/>
      <c r="M250" s="29"/>
      <c r="N250" s="177"/>
      <c r="O250" s="177"/>
      <c r="P250" s="177"/>
      <c r="Q250" s="29"/>
      <c r="R250" s="29"/>
      <c r="S250" s="29"/>
      <c r="T250" s="29"/>
      <c r="U250" s="29"/>
      <c r="V250" s="29"/>
    </row>
    <row r="251" spans="1:22" ht="13.5" customHeight="1">
      <c r="A251" s="10">
        <v>1</v>
      </c>
      <c r="B251" s="184"/>
      <c r="C251" s="184"/>
      <c r="E251" s="178"/>
      <c r="F251" s="182" t="s">
        <v>278</v>
      </c>
      <c r="G251" s="183" t="e">
        <f>(J118*12/CurMonths)/J76</f>
        <v>#DIV/0!</v>
      </c>
      <c r="H251" s="183" t="e">
        <f>(K118*12/PriorMonths)/K76</f>
        <v>#DIV/0!</v>
      </c>
      <c r="I251" s="184" t="e">
        <f>G251-H251</f>
        <v>#DIV/0!</v>
      </c>
      <c r="J251" s="185"/>
      <c r="K251" s="228"/>
      <c r="L251" s="229"/>
      <c r="M251" s="29"/>
      <c r="N251" s="186"/>
      <c r="O251" s="177"/>
      <c r="P251" s="177"/>
      <c r="Q251" s="29"/>
      <c r="R251" s="29"/>
      <c r="S251" s="29"/>
      <c r="T251" s="29"/>
      <c r="U251" s="29"/>
      <c r="V251" s="29"/>
    </row>
    <row r="252" spans="1:22" ht="13.5" customHeight="1">
      <c r="A252" s="10">
        <v>1</v>
      </c>
      <c r="B252" s="184"/>
      <c r="C252" s="184"/>
      <c r="E252" s="178"/>
      <c r="F252" s="182" t="s">
        <v>279</v>
      </c>
      <c r="G252" s="183" t="e">
        <f>(J118*12/CurMonths)/J111</f>
        <v>#DIV/0!</v>
      </c>
      <c r="H252" s="183" t="e">
        <f>(K118*12/PriorMonths)/K111</f>
        <v>#DIV/0!</v>
      </c>
      <c r="I252" s="184" t="e">
        <f>G252-H252</f>
        <v>#DIV/0!</v>
      </c>
      <c r="J252" s="185"/>
      <c r="K252" s="228"/>
      <c r="L252" s="229"/>
      <c r="M252" s="29"/>
      <c r="N252" s="186"/>
      <c r="O252" s="177"/>
      <c r="P252" s="177"/>
      <c r="Q252" s="29"/>
      <c r="R252" s="29"/>
      <c r="S252" s="29"/>
      <c r="T252" s="29"/>
      <c r="U252" s="29"/>
      <c r="V252" s="29"/>
    </row>
    <row r="253" spans="1:22" ht="13.5" customHeight="1">
      <c r="A253" s="10">
        <v>1</v>
      </c>
      <c r="F253" s="10" t="s">
        <v>137</v>
      </c>
      <c r="J253" s="177"/>
      <c r="K253" s="29"/>
      <c r="L253" s="29"/>
      <c r="M253" s="186"/>
      <c r="N253" s="186"/>
      <c r="O253" s="177"/>
      <c r="P253" s="177"/>
      <c r="Q253" s="29"/>
      <c r="R253" s="29"/>
      <c r="S253" s="29"/>
      <c r="T253" s="29"/>
      <c r="U253" s="29"/>
      <c r="V253" s="29"/>
    </row>
    <row r="254" spans="1:22" ht="13.5" customHeight="1">
      <c r="A254" s="10">
        <v>1</v>
      </c>
      <c r="J254" s="177"/>
      <c r="L254" s="229"/>
      <c r="M254" s="186"/>
      <c r="N254" s="186"/>
      <c r="O254" s="177"/>
      <c r="P254" s="177"/>
      <c r="Q254" s="29"/>
      <c r="R254" s="29"/>
      <c r="S254" s="29"/>
      <c r="T254" s="29"/>
      <c r="U254" s="29"/>
      <c r="V254" s="29"/>
    </row>
    <row r="255" spans="1:22" ht="13.5" customHeight="1">
      <c r="A255" s="10">
        <v>1</v>
      </c>
      <c r="J255" s="177"/>
      <c r="K255" s="177"/>
      <c r="L255" s="186"/>
      <c r="M255" s="186"/>
      <c r="N255" s="186"/>
      <c r="O255" s="177"/>
      <c r="P255" s="177"/>
      <c r="Q255" s="29"/>
      <c r="R255" s="29"/>
      <c r="S255" s="29"/>
      <c r="T255" s="29"/>
      <c r="U255" s="29"/>
      <c r="V255" s="29"/>
    </row>
    <row r="256" spans="1:22" ht="13.5" customHeight="1">
      <c r="A256" s="10">
        <v>1</v>
      </c>
      <c r="B256" s="178"/>
      <c r="C256" s="178"/>
      <c r="E256" s="178" t="s">
        <v>280</v>
      </c>
      <c r="F256" s="178"/>
      <c r="G256" s="178"/>
      <c r="H256" s="178"/>
      <c r="I256" s="178"/>
      <c r="J256" s="95"/>
      <c r="K256" s="181">
        <f>J250</f>
        <v>0</v>
      </c>
      <c r="L256" s="186"/>
      <c r="M256" s="186"/>
      <c r="N256" s="186"/>
      <c r="O256" s="177"/>
      <c r="P256" s="177"/>
      <c r="Q256" s="29"/>
      <c r="R256" s="29"/>
      <c r="S256" s="29"/>
      <c r="T256" s="29"/>
      <c r="U256" s="29"/>
      <c r="V256" s="29"/>
    </row>
    <row r="257" spans="1:22" ht="13.5" customHeight="1">
      <c r="A257" s="10">
        <v>1</v>
      </c>
      <c r="B257" s="180"/>
      <c r="C257" s="180"/>
      <c r="E257" s="178"/>
      <c r="F257" s="179" t="s">
        <v>276</v>
      </c>
      <c r="G257" s="192">
        <f>G250</f>
        <v>0</v>
      </c>
      <c r="H257" s="192">
        <f>H250</f>
        <v>0</v>
      </c>
      <c r="I257" s="180" t="str">
        <f>I250</f>
        <v>증감</v>
      </c>
      <c r="K257" s="181"/>
      <c r="L257" s="181">
        <f>L250</f>
        <v>0</v>
      </c>
      <c r="M257" s="29"/>
      <c r="N257" s="186"/>
      <c r="O257" s="177"/>
      <c r="P257" s="177"/>
      <c r="Q257" s="29"/>
      <c r="R257" s="29"/>
      <c r="S257" s="29"/>
      <c r="T257" s="29"/>
      <c r="U257" s="29"/>
      <c r="V257" s="29"/>
    </row>
    <row r="258" spans="1:22" ht="13.5" customHeight="1">
      <c r="A258" s="10">
        <v>1</v>
      </c>
      <c r="B258" s="188"/>
      <c r="C258" s="188"/>
      <c r="E258" s="178"/>
      <c r="F258" s="182" t="s">
        <v>281</v>
      </c>
      <c r="G258" s="187" t="e">
        <f>J14/J77</f>
        <v>#DIV/0!</v>
      </c>
      <c r="H258" s="187" t="e">
        <f>K14/K77</f>
        <v>#DIV/0!</v>
      </c>
      <c r="I258" s="188" t="e">
        <f>G258-H258</f>
        <v>#DIV/0!</v>
      </c>
      <c r="J258" s="189"/>
      <c r="K258" s="189"/>
      <c r="L258" s="190"/>
      <c r="M258" s="186"/>
      <c r="N258" s="186"/>
      <c r="O258" s="177"/>
      <c r="P258" s="177"/>
      <c r="Q258" s="29"/>
      <c r="R258" s="29"/>
      <c r="S258" s="29"/>
      <c r="T258" s="29"/>
      <c r="U258" s="29"/>
      <c r="V258" s="29"/>
    </row>
    <row r="259" spans="1:22" ht="13.5" customHeight="1">
      <c r="A259" s="10">
        <v>1</v>
      </c>
      <c r="B259" s="188"/>
      <c r="C259" s="188"/>
      <c r="E259" s="178"/>
      <c r="F259" s="182" t="s">
        <v>282</v>
      </c>
      <c r="G259" s="187" t="e">
        <f>J94/J111</f>
        <v>#DIV/0!</v>
      </c>
      <c r="H259" s="187" t="e">
        <f>K94/K111</f>
        <v>#DIV/0!</v>
      </c>
      <c r="I259" s="188" t="e">
        <f>G259-H259</f>
        <v>#DIV/0!</v>
      </c>
      <c r="J259" s="189"/>
      <c r="K259" s="189"/>
      <c r="L259" s="190"/>
      <c r="M259" s="186"/>
      <c r="N259" s="186"/>
      <c r="O259" s="177"/>
      <c r="P259" s="177"/>
      <c r="Q259" s="29"/>
      <c r="R259" s="29"/>
      <c r="S259" s="29"/>
      <c r="T259" s="29"/>
      <c r="U259" s="29"/>
      <c r="V259" s="29"/>
    </row>
    <row r="260" spans="1:22" ht="13.5" customHeight="1">
      <c r="A260" s="10">
        <v>1</v>
      </c>
      <c r="B260" s="184"/>
      <c r="C260" s="184"/>
      <c r="E260" s="178"/>
      <c r="F260" s="182" t="s">
        <v>283</v>
      </c>
      <c r="G260" s="183" t="e">
        <f>(J172/J184)</f>
        <v>#DIV/0!</v>
      </c>
      <c r="H260" s="183" t="e">
        <f>(K172/K184)</f>
        <v>#DIV/0!</v>
      </c>
      <c r="I260" s="184" t="e">
        <f>G260-H260</f>
        <v>#DIV/0!</v>
      </c>
      <c r="J260" s="191"/>
      <c r="K260" s="191"/>
      <c r="L260" s="191"/>
      <c r="M260" s="186"/>
      <c r="N260" s="186"/>
      <c r="O260" s="177"/>
      <c r="P260" s="177"/>
      <c r="Q260" s="29"/>
      <c r="R260" s="29"/>
      <c r="S260" s="29"/>
      <c r="T260" s="29"/>
      <c r="U260" s="29"/>
      <c r="V260" s="29"/>
    </row>
    <row r="261" spans="1:22" ht="13.5" customHeight="1">
      <c r="A261" s="10">
        <v>1</v>
      </c>
      <c r="B261" s="178"/>
      <c r="C261" s="178"/>
      <c r="E261" s="178"/>
      <c r="F261" s="178" t="s">
        <v>137</v>
      </c>
      <c r="G261" s="178"/>
      <c r="H261" s="178"/>
      <c r="I261" s="178"/>
      <c r="J261" s="178"/>
      <c r="K261" s="178"/>
      <c r="L261" s="29"/>
      <c r="M261" s="29"/>
      <c r="N261" s="29"/>
      <c r="Q261" s="29"/>
      <c r="R261" s="29"/>
      <c r="S261" s="29"/>
      <c r="T261" s="29"/>
      <c r="U261" s="29"/>
      <c r="V261" s="29"/>
    </row>
    <row r="262" spans="1:22" ht="13.5" customHeight="1">
      <c r="B262" s="178"/>
      <c r="C262" s="178"/>
      <c r="E262" s="178"/>
      <c r="F262" s="178"/>
      <c r="G262" s="178"/>
      <c r="H262" s="178"/>
      <c r="I262" s="178"/>
      <c r="J262" s="178"/>
      <c r="K262" s="178"/>
      <c r="L262" s="29"/>
      <c r="M262" s="29"/>
      <c r="N262" s="29"/>
      <c r="Q262" s="29"/>
      <c r="R262" s="29"/>
      <c r="S262" s="29"/>
      <c r="T262" s="29"/>
      <c r="U262" s="29"/>
      <c r="V262" s="29"/>
    </row>
    <row r="263" spans="1:22" ht="13.5" customHeight="1">
      <c r="B263" s="178"/>
      <c r="C263" s="178"/>
      <c r="E263" s="178"/>
      <c r="F263" s="178"/>
      <c r="G263" s="178"/>
      <c r="H263" s="178"/>
      <c r="I263" s="178"/>
      <c r="J263" s="178"/>
      <c r="K263" s="178"/>
      <c r="L263" s="29"/>
      <c r="M263" s="29"/>
      <c r="N263" s="29"/>
      <c r="Q263" s="29"/>
      <c r="R263" s="29"/>
      <c r="S263" s="29"/>
      <c r="T263" s="29"/>
      <c r="U263" s="29"/>
      <c r="V263" s="29"/>
    </row>
    <row r="264" spans="1:22" ht="13.5" customHeight="1">
      <c r="A264" s="10">
        <v>1</v>
      </c>
      <c r="B264" s="178"/>
      <c r="C264" s="178"/>
      <c r="E264" s="178"/>
      <c r="F264" s="178"/>
      <c r="G264" s="178"/>
      <c r="H264" s="178"/>
      <c r="I264" s="178"/>
      <c r="J264" s="178"/>
      <c r="K264" s="178"/>
      <c r="L264" s="29"/>
      <c r="M264" s="29"/>
      <c r="N264" s="29"/>
      <c r="Q264" s="29"/>
      <c r="R264" s="29"/>
      <c r="S264" s="29"/>
      <c r="T264" s="29"/>
      <c r="U264" s="29"/>
      <c r="V264" s="29"/>
    </row>
    <row r="265" spans="1:22" ht="13.5" customHeight="1">
      <c r="A265" s="10">
        <v>1</v>
      </c>
      <c r="B265" s="178"/>
      <c r="C265" s="178"/>
      <c r="E265" s="178" t="s">
        <v>284</v>
      </c>
      <c r="F265" s="178"/>
      <c r="G265" s="178"/>
      <c r="H265" s="178"/>
      <c r="I265" s="178"/>
      <c r="J265" s="178"/>
      <c r="K265" s="178"/>
      <c r="L265" s="29"/>
      <c r="M265" s="29"/>
      <c r="N265" s="29"/>
      <c r="Q265" s="29"/>
      <c r="R265" s="29"/>
      <c r="S265" s="29"/>
      <c r="T265" s="29"/>
      <c r="U265" s="29"/>
      <c r="V265" s="29"/>
    </row>
    <row r="266" spans="1:22" ht="13.5" customHeight="1">
      <c r="A266" s="10">
        <v>1</v>
      </c>
      <c r="B266" s="180"/>
      <c r="C266" s="180"/>
      <c r="E266" s="178"/>
      <c r="F266" s="179" t="s">
        <v>276</v>
      </c>
      <c r="G266" s="192">
        <f>G257</f>
        <v>0</v>
      </c>
      <c r="H266" s="192">
        <f>H257</f>
        <v>0</v>
      </c>
      <c r="I266" s="180" t="str">
        <f>I257</f>
        <v>증감</v>
      </c>
      <c r="J266" s="181">
        <f>K256</f>
        <v>0</v>
      </c>
      <c r="K266" s="181"/>
      <c r="L266" s="181">
        <f>L257</f>
        <v>0</v>
      </c>
      <c r="N266" s="29"/>
      <c r="Q266" s="29"/>
      <c r="R266" s="29"/>
      <c r="S266" s="29"/>
      <c r="T266" s="29"/>
      <c r="U266" s="29"/>
      <c r="V266" s="29"/>
    </row>
    <row r="267" spans="1:22" ht="13.5" customHeight="1">
      <c r="A267" s="10">
        <v>1</v>
      </c>
      <c r="B267" s="188"/>
      <c r="C267" s="188"/>
      <c r="E267" s="178"/>
      <c r="F267" s="182" t="s">
        <v>285</v>
      </c>
      <c r="G267" s="188" t="e">
        <f>(J200*12/CurMonths)/J112</f>
        <v>#DIV/0!</v>
      </c>
      <c r="H267" s="188" t="e">
        <f>(K200*12/PriorMonths)/K112</f>
        <v>#DIV/0!</v>
      </c>
      <c r="I267" s="188" t="e">
        <f>G267-H267</f>
        <v>#DIV/0!</v>
      </c>
      <c r="J267" s="193"/>
      <c r="K267" s="193"/>
      <c r="L267" s="193"/>
      <c r="N267" s="29"/>
      <c r="Q267" s="29"/>
      <c r="R267" s="29"/>
      <c r="S267" s="29"/>
      <c r="T267" s="29"/>
      <c r="U267" s="29"/>
      <c r="V267" s="29"/>
    </row>
    <row r="268" spans="1:22" ht="13.5" customHeight="1">
      <c r="A268" s="10">
        <v>1</v>
      </c>
      <c r="B268" s="188"/>
      <c r="C268" s="188"/>
      <c r="E268" s="178"/>
      <c r="F268" s="182" t="s">
        <v>286</v>
      </c>
      <c r="G268" s="187" t="e">
        <f>(J200*12/CurMonths)/J111</f>
        <v>#DIV/0!</v>
      </c>
      <c r="H268" s="187" t="e">
        <f>(K200*12/PriorMonths)/K111</f>
        <v>#DIV/0!</v>
      </c>
      <c r="I268" s="188" t="e">
        <f>G268-H268</f>
        <v>#DIV/0!</v>
      </c>
      <c r="J268" s="194"/>
      <c r="K268" s="194"/>
      <c r="L268" s="193"/>
      <c r="N268" s="195"/>
      <c r="Q268" s="29"/>
      <c r="R268" s="29"/>
      <c r="S268" s="29"/>
      <c r="T268" s="29"/>
      <c r="U268" s="29"/>
      <c r="V268" s="29"/>
    </row>
    <row r="269" spans="1:22" ht="13.5" customHeight="1">
      <c r="A269" s="10">
        <v>1</v>
      </c>
      <c r="F269" s="178" t="s">
        <v>137</v>
      </c>
      <c r="M269" s="196"/>
      <c r="Q269" s="29"/>
      <c r="R269" s="29"/>
      <c r="S269" s="29"/>
      <c r="T269" s="29"/>
      <c r="U269" s="29"/>
      <c r="V269" s="29"/>
    </row>
    <row r="270" spans="1:22" ht="13.5" customHeight="1">
      <c r="A270" s="10">
        <v>1</v>
      </c>
      <c r="F270" s="178"/>
      <c r="M270" s="196"/>
      <c r="Q270" s="29"/>
      <c r="R270" s="29"/>
      <c r="S270" s="29"/>
      <c r="T270" s="29"/>
      <c r="U270" s="29"/>
      <c r="V270" s="29"/>
    </row>
    <row r="271" spans="1:22" ht="13.5" customHeight="1">
      <c r="A271" s="10">
        <v>1</v>
      </c>
      <c r="M271" s="196"/>
      <c r="Q271" s="29"/>
      <c r="R271" s="29"/>
      <c r="S271" s="29"/>
      <c r="T271" s="29"/>
      <c r="U271" s="29"/>
      <c r="V271" s="29"/>
    </row>
    <row r="272" spans="1:22" ht="13.5" customHeight="1">
      <c r="A272" s="10">
        <v>1</v>
      </c>
      <c r="D272" s="5" t="s">
        <v>287</v>
      </c>
      <c r="M272" s="197"/>
      <c r="Q272" s="29"/>
      <c r="R272" s="29"/>
      <c r="S272" s="29"/>
      <c r="T272" s="29"/>
      <c r="U272" s="29"/>
      <c r="V272" s="29"/>
    </row>
    <row r="273" spans="1:22" ht="13.5" customHeight="1">
      <c r="A273" s="10">
        <v>1</v>
      </c>
      <c r="B273" s="179"/>
      <c r="C273" s="179"/>
      <c r="D273" s="178"/>
      <c r="E273" s="178"/>
      <c r="F273" s="179" t="s">
        <v>276</v>
      </c>
      <c r="G273" s="192">
        <f>G266</f>
        <v>0</v>
      </c>
      <c r="H273" s="192">
        <f>H266</f>
        <v>0</v>
      </c>
      <c r="I273" s="179" t="s">
        <v>288</v>
      </c>
      <c r="J273" s="179" t="s">
        <v>289</v>
      </c>
      <c r="K273" s="198"/>
      <c r="L273" s="178"/>
      <c r="M273" s="178"/>
      <c r="N273" s="178"/>
      <c r="O273" s="178"/>
      <c r="P273" s="178"/>
      <c r="Q273" s="29"/>
      <c r="R273" s="29"/>
      <c r="S273" s="29"/>
      <c r="T273" s="29"/>
      <c r="U273" s="29"/>
      <c r="V273" s="29"/>
    </row>
    <row r="274" spans="1:22" ht="13.5" customHeight="1">
      <c r="A274" s="10">
        <v>1</v>
      </c>
      <c r="B274" s="55"/>
      <c r="C274" s="55"/>
      <c r="D274" s="178"/>
      <c r="E274" s="178"/>
      <c r="F274" s="182" t="s">
        <v>136</v>
      </c>
      <c r="G274" s="55">
        <f>J119</f>
        <v>0</v>
      </c>
      <c r="H274" s="55">
        <f>K119</f>
        <v>0</v>
      </c>
      <c r="I274" s="55">
        <f>G274-H274</f>
        <v>0</v>
      </c>
      <c r="J274" s="230" t="e">
        <f>I274/H274</f>
        <v>#DIV/0!</v>
      </c>
      <c r="K274" s="199"/>
      <c r="L274" s="178"/>
      <c r="M274" s="178"/>
      <c r="N274" s="178"/>
      <c r="O274" s="178"/>
      <c r="P274" s="178"/>
      <c r="Q274" s="29"/>
      <c r="R274" s="29"/>
      <c r="S274" s="29"/>
      <c r="T274" s="29"/>
      <c r="U274" s="29"/>
      <c r="V274" s="29"/>
    </row>
    <row r="275" spans="1:22" ht="13.5" customHeight="1">
      <c r="B275" s="55"/>
      <c r="C275" s="55"/>
      <c r="D275" s="178"/>
      <c r="E275" s="178"/>
      <c r="F275" s="182" t="s">
        <v>290</v>
      </c>
      <c r="G275" s="55">
        <f>J120</f>
        <v>0</v>
      </c>
      <c r="H275" s="55">
        <f>K120</f>
        <v>0</v>
      </c>
      <c r="I275" s="55">
        <f>G275-H275</f>
        <v>0</v>
      </c>
      <c r="J275" s="230" t="e">
        <f>I275/H275</f>
        <v>#DIV/0!</v>
      </c>
      <c r="K275" s="199"/>
      <c r="L275" s="178"/>
      <c r="M275" s="178"/>
      <c r="N275" s="178"/>
      <c r="O275" s="178"/>
      <c r="P275" s="178"/>
      <c r="Q275" s="29"/>
      <c r="R275" s="29"/>
      <c r="S275" s="29"/>
      <c r="T275" s="29"/>
      <c r="U275" s="29"/>
      <c r="V275" s="29"/>
    </row>
    <row r="276" spans="1:22" ht="13.5" customHeight="1">
      <c r="A276" s="10">
        <v>1</v>
      </c>
      <c r="B276" s="178"/>
      <c r="C276" s="178"/>
      <c r="D276" s="178"/>
      <c r="E276" s="178"/>
      <c r="F276" s="178" t="s">
        <v>137</v>
      </c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29"/>
      <c r="R276" s="29"/>
      <c r="S276" s="29"/>
      <c r="T276" s="29"/>
      <c r="U276" s="29"/>
      <c r="V276" s="29"/>
    </row>
    <row r="277" spans="1:22" ht="13.5" customHeight="1">
      <c r="A277" s="10">
        <v>1</v>
      </c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29"/>
      <c r="R277" s="29"/>
      <c r="S277" s="29"/>
      <c r="T277" s="29"/>
      <c r="U277" s="29"/>
      <c r="V277" s="29"/>
    </row>
    <row r="278" spans="1:22" ht="13.5" customHeight="1"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29"/>
      <c r="R278" s="29"/>
      <c r="S278" s="29"/>
      <c r="T278" s="29"/>
      <c r="U278" s="29"/>
      <c r="V278" s="29"/>
    </row>
    <row r="279" spans="1:22" ht="13.5" customHeight="1">
      <c r="A279" s="10">
        <v>1</v>
      </c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29"/>
      <c r="R279" s="29"/>
      <c r="S279" s="29"/>
      <c r="T279" s="29"/>
      <c r="U279" s="29"/>
      <c r="V279" s="29"/>
    </row>
    <row r="280" spans="1:22" ht="13.5" customHeight="1">
      <c r="B280" s="178"/>
      <c r="C280" s="178"/>
      <c r="D280" s="200" t="s">
        <v>291</v>
      </c>
      <c r="E280" s="200"/>
      <c r="F280" s="178"/>
      <c r="G280" s="178"/>
      <c r="H280" s="178"/>
      <c r="I280" s="178"/>
      <c r="J280" s="178"/>
      <c r="K280" s="178"/>
      <c r="L280" s="178"/>
      <c r="M280" s="178"/>
      <c r="O280" s="178"/>
      <c r="P280" s="178"/>
      <c r="Q280" s="29"/>
      <c r="R280" s="29"/>
      <c r="S280" s="29"/>
      <c r="T280" s="29"/>
      <c r="U280" s="29"/>
      <c r="V280" s="29"/>
    </row>
    <row r="281" spans="1:22" ht="13.5" customHeight="1">
      <c r="B281" s="178"/>
      <c r="C281" s="178"/>
      <c r="D281" s="178"/>
      <c r="E281" s="178"/>
      <c r="F281" s="178" t="s">
        <v>292</v>
      </c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29"/>
      <c r="R281" s="29"/>
      <c r="S281" s="29"/>
      <c r="T281" s="29"/>
      <c r="U281" s="29"/>
      <c r="V281" s="29"/>
    </row>
    <row r="282" spans="1:22" ht="13.5" customHeight="1">
      <c r="B282" s="179"/>
      <c r="C282" s="179"/>
      <c r="D282" s="178"/>
      <c r="E282" s="178"/>
      <c r="F282" s="179" t="s">
        <v>276</v>
      </c>
      <c r="G282" s="192">
        <f>G273</f>
        <v>0</v>
      </c>
      <c r="H282" s="192">
        <f>H273</f>
        <v>0</v>
      </c>
      <c r="I282" s="179" t="s">
        <v>288</v>
      </c>
      <c r="J282" s="179" t="s">
        <v>289</v>
      </c>
      <c r="K282" s="198"/>
      <c r="L282" s="178"/>
      <c r="M282" s="178"/>
      <c r="N282" s="178"/>
      <c r="O282" s="178"/>
      <c r="P282" s="178"/>
      <c r="Q282" s="29"/>
      <c r="R282" s="29"/>
      <c r="S282" s="29"/>
      <c r="T282" s="29"/>
      <c r="U282" s="29"/>
      <c r="V282" s="29"/>
    </row>
    <row r="283" spans="1:22" ht="13.5" customHeight="1">
      <c r="B283" s="182"/>
      <c r="C283" s="182"/>
      <c r="D283" s="178"/>
      <c r="E283" s="178"/>
      <c r="F283" s="182" t="s">
        <v>136</v>
      </c>
      <c r="G283" s="182">
        <f>G274</f>
        <v>0</v>
      </c>
      <c r="H283" s="182">
        <f>H274</f>
        <v>0</v>
      </c>
      <c r="I283" s="182">
        <f>G283-H283</f>
        <v>0</v>
      </c>
      <c r="J283" s="187" t="e">
        <f>I283/H283</f>
        <v>#DIV/0!</v>
      </c>
      <c r="K283" s="199"/>
      <c r="L283" s="178"/>
      <c r="M283" s="178"/>
      <c r="N283" s="178"/>
      <c r="O283" s="178"/>
      <c r="P283" s="178"/>
      <c r="Q283" s="29"/>
      <c r="R283" s="29"/>
      <c r="S283" s="29"/>
      <c r="T283" s="29"/>
      <c r="U283" s="29"/>
      <c r="V283" s="29"/>
    </row>
    <row r="284" spans="1:22" ht="13.5" customHeight="1">
      <c r="B284" s="182"/>
      <c r="C284" s="182"/>
      <c r="D284" s="178"/>
      <c r="E284" s="178"/>
      <c r="F284" s="182" t="s">
        <v>293</v>
      </c>
      <c r="G284" s="182">
        <f>J133</f>
        <v>0</v>
      </c>
      <c r="H284" s="182">
        <f>K133</f>
        <v>0</v>
      </c>
      <c r="I284" s="182">
        <f>G284-H284</f>
        <v>0</v>
      </c>
      <c r="J284" s="187" t="e">
        <f>I284/H284</f>
        <v>#DIV/0!</v>
      </c>
      <c r="K284" s="199"/>
      <c r="L284" s="178"/>
      <c r="M284" s="178"/>
      <c r="N284" s="178"/>
      <c r="O284" s="178"/>
      <c r="P284" s="178"/>
      <c r="Q284" s="29"/>
      <c r="R284" s="29"/>
      <c r="S284" s="29"/>
      <c r="T284" s="29"/>
      <c r="U284" s="29"/>
      <c r="V284" s="29"/>
    </row>
    <row r="285" spans="1:22" ht="13.5" customHeight="1">
      <c r="B285" s="182"/>
      <c r="C285" s="182"/>
      <c r="D285" s="178"/>
      <c r="E285" s="178"/>
      <c r="F285" s="182" t="s">
        <v>294</v>
      </c>
      <c r="G285" s="182">
        <f>G283-G284</f>
        <v>0</v>
      </c>
      <c r="H285" s="182">
        <f>H283-H284</f>
        <v>0</v>
      </c>
      <c r="I285" s="182">
        <f>G285-H285</f>
        <v>0</v>
      </c>
      <c r="J285" s="187" t="e">
        <f>I285/H285</f>
        <v>#DIV/0!</v>
      </c>
      <c r="K285" s="199"/>
      <c r="L285" s="178"/>
      <c r="M285" s="178"/>
      <c r="N285" s="178"/>
      <c r="O285" s="178"/>
      <c r="P285" s="178"/>
      <c r="Q285" s="29"/>
      <c r="R285" s="29"/>
      <c r="S285" s="29"/>
      <c r="T285" s="29"/>
      <c r="U285" s="29"/>
      <c r="V285" s="29"/>
    </row>
    <row r="286" spans="1:22" ht="13.5" customHeight="1">
      <c r="B286" s="187"/>
      <c r="C286" s="187"/>
      <c r="D286" s="178"/>
      <c r="E286" s="178"/>
      <c r="F286" s="182" t="s">
        <v>295</v>
      </c>
      <c r="G286" s="187" t="e">
        <f>G285/G283</f>
        <v>#DIV/0!</v>
      </c>
      <c r="H286" s="187" t="e">
        <f>H285/H283</f>
        <v>#DIV/0!</v>
      </c>
      <c r="I286" s="187" t="e">
        <f>G286-H286</f>
        <v>#DIV/0!</v>
      </c>
      <c r="J286" s="182"/>
      <c r="K286" s="178"/>
      <c r="L286" s="178"/>
      <c r="M286" s="178"/>
      <c r="N286" s="178"/>
      <c r="O286" s="178"/>
      <c r="P286" s="178"/>
      <c r="Q286" s="29"/>
      <c r="R286" s="29"/>
      <c r="S286" s="29"/>
      <c r="T286" s="29"/>
      <c r="U286" s="29"/>
      <c r="V286" s="29"/>
    </row>
    <row r="287" spans="1:22" ht="13.5" customHeight="1">
      <c r="B287" s="178"/>
      <c r="C287" s="178"/>
      <c r="D287" s="178"/>
      <c r="E287" s="178"/>
      <c r="F287" s="178" t="s">
        <v>137</v>
      </c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29"/>
      <c r="R287" s="29"/>
      <c r="S287" s="29"/>
      <c r="T287" s="29"/>
      <c r="U287" s="29"/>
      <c r="V287" s="29"/>
    </row>
    <row r="288" spans="1:22" ht="13.5" customHeight="1"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29"/>
      <c r="R288" s="29"/>
      <c r="S288" s="29"/>
      <c r="T288" s="29"/>
      <c r="U288" s="29"/>
      <c r="V288" s="29"/>
    </row>
    <row r="289" spans="2:22" ht="13.5" customHeight="1"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29"/>
      <c r="R289" s="29"/>
      <c r="S289" s="29"/>
      <c r="T289" s="29"/>
      <c r="U289" s="29"/>
      <c r="V289" s="29"/>
    </row>
    <row r="290" spans="2:22" ht="13.5" customHeight="1"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29"/>
      <c r="R290" s="29"/>
      <c r="S290" s="29"/>
      <c r="T290" s="29"/>
      <c r="U290" s="29"/>
      <c r="V290" s="29"/>
    </row>
    <row r="291" spans="2:22" ht="13.5" customHeight="1">
      <c r="B291" s="178"/>
      <c r="C291" s="178"/>
      <c r="D291" s="178"/>
      <c r="E291" s="178"/>
      <c r="F291" s="178" t="s">
        <v>296</v>
      </c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29"/>
      <c r="R291" s="29"/>
      <c r="S291" s="29"/>
      <c r="T291" s="29"/>
      <c r="U291" s="29"/>
      <c r="V291" s="29"/>
    </row>
    <row r="292" spans="2:22" ht="13.5" customHeight="1">
      <c r="B292" s="179"/>
      <c r="C292" s="179"/>
      <c r="D292" s="178"/>
      <c r="E292" s="178"/>
      <c r="F292" s="179" t="s">
        <v>276</v>
      </c>
      <c r="G292" s="192">
        <f>G282</f>
        <v>0</v>
      </c>
      <c r="H292" s="192">
        <f>H282</f>
        <v>0</v>
      </c>
      <c r="I292" s="179" t="s">
        <v>288</v>
      </c>
      <c r="J292" s="179" t="s">
        <v>289</v>
      </c>
      <c r="K292" s="178"/>
      <c r="L292" s="178"/>
      <c r="M292" s="178"/>
      <c r="N292" s="178"/>
      <c r="O292" s="178"/>
      <c r="P292" s="178"/>
      <c r="Q292" s="29"/>
      <c r="R292" s="29"/>
      <c r="S292" s="29"/>
      <c r="T292" s="29"/>
      <c r="U292" s="29"/>
      <c r="V292" s="29"/>
    </row>
    <row r="293" spans="2:22" ht="13.5" customHeight="1">
      <c r="B293" s="182"/>
      <c r="C293" s="182"/>
      <c r="D293" s="178"/>
      <c r="E293" s="178"/>
      <c r="F293" s="182" t="s">
        <v>290</v>
      </c>
      <c r="G293" s="182">
        <f>G275</f>
        <v>0</v>
      </c>
      <c r="H293" s="182">
        <f>H275</f>
        <v>0</v>
      </c>
      <c r="I293" s="182">
        <f>G293-H293</f>
        <v>0</v>
      </c>
      <c r="J293" s="187" t="e">
        <f>I293/H293</f>
        <v>#DIV/0!</v>
      </c>
      <c r="K293" s="178"/>
      <c r="L293" s="178"/>
      <c r="M293" s="178"/>
      <c r="N293" s="178"/>
      <c r="O293" s="178"/>
      <c r="P293" s="178"/>
      <c r="Q293" s="29"/>
      <c r="R293" s="29"/>
      <c r="S293" s="29"/>
      <c r="T293" s="29"/>
      <c r="U293" s="29"/>
      <c r="V293" s="29"/>
    </row>
    <row r="294" spans="2:22" ht="13.5" customHeight="1">
      <c r="B294" s="182"/>
      <c r="C294" s="182"/>
      <c r="D294" s="178"/>
      <c r="E294" s="178"/>
      <c r="F294" s="182" t="s">
        <v>297</v>
      </c>
      <c r="G294" s="182">
        <f>J124</f>
        <v>0</v>
      </c>
      <c r="H294" s="182">
        <f>K124</f>
        <v>0</v>
      </c>
      <c r="I294" s="182">
        <f>G294-H294</f>
        <v>0</v>
      </c>
      <c r="J294" s="187" t="e">
        <f>I294/H294</f>
        <v>#DIV/0!</v>
      </c>
      <c r="K294" s="178"/>
      <c r="L294" s="178"/>
      <c r="M294" s="178"/>
      <c r="N294" s="178"/>
      <c r="O294" s="178"/>
      <c r="P294" s="178"/>
      <c r="Q294" s="29"/>
      <c r="R294" s="29"/>
      <c r="S294" s="29"/>
      <c r="T294" s="29"/>
      <c r="U294" s="29"/>
      <c r="V294" s="29"/>
    </row>
    <row r="295" spans="2:22" ht="13.5" customHeight="1">
      <c r="B295" s="182"/>
      <c r="C295" s="182"/>
      <c r="D295" s="178"/>
      <c r="E295" s="178"/>
      <c r="F295" s="182" t="s">
        <v>298</v>
      </c>
      <c r="G295" s="182">
        <f>G293-G294</f>
        <v>0</v>
      </c>
      <c r="H295" s="182">
        <f>H293-H294</f>
        <v>0</v>
      </c>
      <c r="I295" s="182">
        <f>G295-H295</f>
        <v>0</v>
      </c>
      <c r="J295" s="187" t="e">
        <f>I295/H295</f>
        <v>#DIV/0!</v>
      </c>
      <c r="K295" s="178"/>
      <c r="L295" s="178"/>
      <c r="M295" s="178"/>
      <c r="N295" s="178"/>
      <c r="O295" s="178"/>
      <c r="P295" s="178"/>
      <c r="Q295" s="29"/>
      <c r="R295" s="29"/>
      <c r="S295" s="29"/>
      <c r="T295" s="29"/>
      <c r="U295" s="29"/>
      <c r="V295" s="29"/>
    </row>
    <row r="296" spans="2:22" ht="13.5" customHeight="1">
      <c r="B296" s="187"/>
      <c r="C296" s="187"/>
      <c r="D296" s="178"/>
      <c r="E296" s="178"/>
      <c r="F296" s="182" t="s">
        <v>299</v>
      </c>
      <c r="G296" s="187" t="e">
        <f>G295/G293</f>
        <v>#DIV/0!</v>
      </c>
      <c r="H296" s="187" t="e">
        <f>H295/H293</f>
        <v>#DIV/0!</v>
      </c>
      <c r="I296" s="187" t="e">
        <f>G296-H296</f>
        <v>#DIV/0!</v>
      </c>
      <c r="J296" s="182"/>
      <c r="K296" s="178"/>
      <c r="L296" s="178"/>
      <c r="M296" s="178"/>
      <c r="N296" s="178"/>
      <c r="O296" s="178"/>
      <c r="P296" s="178"/>
      <c r="Q296" s="29"/>
      <c r="R296" s="29"/>
      <c r="S296" s="29"/>
      <c r="T296" s="29"/>
      <c r="U296" s="29"/>
      <c r="V296" s="29"/>
    </row>
    <row r="297" spans="2:22" ht="13.5" customHeight="1">
      <c r="B297" s="178"/>
      <c r="C297" s="178"/>
      <c r="D297" s="178"/>
      <c r="E297" s="178"/>
      <c r="F297" s="178" t="s">
        <v>137</v>
      </c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29"/>
      <c r="R297" s="29"/>
      <c r="S297" s="29"/>
      <c r="T297" s="29"/>
      <c r="U297" s="29"/>
      <c r="V297" s="29"/>
    </row>
    <row r="298" spans="2:22" ht="13.5" customHeight="1"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29"/>
      <c r="R298" s="29"/>
      <c r="S298" s="29"/>
      <c r="T298" s="29"/>
      <c r="U298" s="29"/>
      <c r="V298" s="29"/>
    </row>
    <row r="299" spans="2:22" ht="13.5" customHeight="1"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29"/>
      <c r="R299" s="29"/>
      <c r="S299" s="29"/>
      <c r="T299" s="29"/>
      <c r="U299" s="29"/>
      <c r="V299" s="29"/>
    </row>
    <row r="300" spans="2:22" ht="13.5" customHeight="1"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29"/>
      <c r="R300" s="29"/>
      <c r="S300" s="29"/>
      <c r="T300" s="29"/>
      <c r="U300" s="29"/>
      <c r="V300" s="29"/>
    </row>
    <row r="301" spans="2:22" ht="13.5" customHeight="1"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29"/>
      <c r="R301" s="29"/>
      <c r="S301" s="29"/>
      <c r="T301" s="29"/>
      <c r="U301" s="29"/>
      <c r="V301" s="29"/>
    </row>
    <row r="302" spans="2:22" ht="13.5" customHeight="1">
      <c r="B302" s="178"/>
      <c r="C302" s="178"/>
      <c r="D302" s="200" t="s">
        <v>300</v>
      </c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29"/>
      <c r="R302" s="29"/>
      <c r="S302" s="29"/>
      <c r="T302" s="29"/>
      <c r="U302" s="29"/>
      <c r="V302" s="29"/>
    </row>
    <row r="303" spans="2:22" ht="13.5" customHeight="1">
      <c r="B303" s="178"/>
      <c r="C303" s="178"/>
      <c r="D303" s="178"/>
      <c r="E303" s="178" t="s">
        <v>301</v>
      </c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29"/>
      <c r="R303" s="29"/>
      <c r="S303" s="29"/>
      <c r="T303" s="29"/>
      <c r="U303" s="29"/>
      <c r="V303" s="29"/>
    </row>
    <row r="304" spans="2:22" ht="13.5" customHeight="1">
      <c r="B304" s="179"/>
      <c r="C304" s="179"/>
      <c r="D304" s="178"/>
      <c r="E304" s="178"/>
      <c r="F304" s="179" t="s">
        <v>276</v>
      </c>
      <c r="G304" s="192">
        <f>G292</f>
        <v>0</v>
      </c>
      <c r="H304" s="192">
        <f>H292</f>
        <v>0</v>
      </c>
      <c r="I304" s="179" t="s">
        <v>288</v>
      </c>
      <c r="J304" s="179" t="s">
        <v>289</v>
      </c>
      <c r="K304" s="198"/>
      <c r="L304" s="178"/>
      <c r="M304" s="178"/>
      <c r="N304" s="178"/>
      <c r="O304" s="178"/>
      <c r="P304" s="178"/>
      <c r="Q304" s="29"/>
      <c r="R304" s="29"/>
      <c r="S304" s="29"/>
      <c r="T304" s="29"/>
      <c r="U304" s="29"/>
      <c r="V304" s="29"/>
    </row>
    <row r="305" spans="2:22" ht="13.5" customHeight="1">
      <c r="B305" s="55"/>
      <c r="C305" s="55"/>
      <c r="D305" s="178"/>
      <c r="E305" s="178"/>
      <c r="F305" s="182" t="s">
        <v>302</v>
      </c>
      <c r="G305" s="55">
        <f>J144</f>
        <v>0</v>
      </c>
      <c r="H305" s="55">
        <f>K144</f>
        <v>0</v>
      </c>
      <c r="I305" s="55">
        <f>G305-H305</f>
        <v>0</v>
      </c>
      <c r="J305" s="188" t="e">
        <f>I305/H305</f>
        <v>#DIV/0!</v>
      </c>
      <c r="K305" s="202"/>
      <c r="L305" s="178"/>
      <c r="M305" s="178"/>
      <c r="N305" s="178"/>
      <c r="O305" s="178"/>
      <c r="P305" s="178"/>
      <c r="Q305" s="29"/>
      <c r="R305" s="29"/>
      <c r="S305" s="29"/>
      <c r="T305" s="29"/>
      <c r="U305" s="29"/>
      <c r="V305" s="29"/>
    </row>
    <row r="306" spans="2:22" ht="13.5" customHeight="1">
      <c r="B306" s="55"/>
      <c r="C306" s="55"/>
      <c r="D306" s="178"/>
      <c r="E306" s="178"/>
      <c r="F306" s="182" t="s">
        <v>303</v>
      </c>
      <c r="G306" s="55">
        <f>J213</f>
        <v>0</v>
      </c>
      <c r="H306" s="55">
        <f>K213</f>
        <v>0</v>
      </c>
      <c r="I306" s="55">
        <f>G306-H306</f>
        <v>0</v>
      </c>
      <c r="J306" s="188" t="e">
        <f>I306/H306</f>
        <v>#DIV/0!</v>
      </c>
      <c r="K306" s="202"/>
      <c r="L306" s="178"/>
      <c r="M306" s="178"/>
      <c r="N306" s="178"/>
      <c r="O306" s="178"/>
      <c r="P306" s="178"/>
      <c r="Q306" s="29"/>
      <c r="R306" s="29"/>
      <c r="S306" s="29"/>
      <c r="T306" s="29"/>
      <c r="U306" s="29"/>
      <c r="V306" s="29"/>
    </row>
    <row r="307" spans="2:22" ht="13.5" customHeight="1">
      <c r="B307" s="55"/>
      <c r="C307" s="55"/>
      <c r="D307" s="178"/>
      <c r="E307" s="178"/>
      <c r="F307" s="182" t="s">
        <v>304</v>
      </c>
      <c r="G307" s="55">
        <f>SUM(G305:G306)</f>
        <v>0</v>
      </c>
      <c r="H307" s="55">
        <f>SUM(H305:H306)</f>
        <v>0</v>
      </c>
      <c r="I307" s="55">
        <f>SUM(I305:I306)</f>
        <v>0</v>
      </c>
      <c r="J307" s="188" t="e">
        <f>I307/H307</f>
        <v>#DIV/0!</v>
      </c>
      <c r="K307" s="202"/>
      <c r="L307" s="178"/>
      <c r="M307" s="178"/>
      <c r="N307" s="201"/>
      <c r="O307" s="178"/>
      <c r="P307" s="178"/>
      <c r="Q307" s="29"/>
      <c r="R307" s="29"/>
      <c r="S307" s="29"/>
      <c r="T307" s="29"/>
      <c r="U307" s="29"/>
      <c r="V307" s="29"/>
    </row>
    <row r="308" spans="2:22" ht="13.5" customHeight="1">
      <c r="B308" s="178"/>
      <c r="C308" s="178"/>
      <c r="D308" s="178"/>
      <c r="E308" s="178"/>
      <c r="F308" s="178" t="s">
        <v>137</v>
      </c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29"/>
      <c r="R308" s="29"/>
      <c r="S308" s="29"/>
      <c r="T308" s="29"/>
      <c r="U308" s="29"/>
      <c r="V308" s="29"/>
    </row>
    <row r="309" spans="2:22" ht="13.5" customHeight="1">
      <c r="B309" s="178"/>
      <c r="C309" s="178"/>
      <c r="D309" s="178"/>
      <c r="E309" s="178"/>
      <c r="F309" s="178"/>
      <c r="G309" s="178"/>
      <c r="H309" s="178"/>
      <c r="I309" s="178"/>
      <c r="J309" s="203"/>
      <c r="K309" s="204"/>
      <c r="L309" s="178"/>
      <c r="M309" s="178"/>
      <c r="N309" s="178"/>
      <c r="O309" s="178"/>
      <c r="P309" s="178"/>
      <c r="Q309" s="29"/>
      <c r="R309" s="29"/>
      <c r="S309" s="29"/>
      <c r="T309" s="29"/>
      <c r="U309" s="29"/>
      <c r="V309" s="29"/>
    </row>
    <row r="310" spans="2:22" ht="13.5" customHeight="1"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29"/>
      <c r="R310" s="29"/>
      <c r="S310" s="29"/>
      <c r="T310" s="29"/>
      <c r="U310" s="29"/>
      <c r="V310" s="29"/>
    </row>
    <row r="311" spans="2:22" ht="13.5" customHeight="1">
      <c r="B311" s="178"/>
      <c r="C311" s="178"/>
      <c r="D311" s="178"/>
      <c r="E311" s="178" t="s">
        <v>305</v>
      </c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29"/>
      <c r="R311" s="29"/>
      <c r="S311" s="29"/>
      <c r="T311" s="29"/>
      <c r="U311" s="29"/>
      <c r="V311" s="29"/>
    </row>
    <row r="312" spans="2:22" ht="13.5" customHeight="1">
      <c r="B312" s="179"/>
      <c r="C312" s="179"/>
      <c r="D312" s="178"/>
      <c r="E312" s="178"/>
      <c r="F312" s="179" t="s">
        <v>276</v>
      </c>
      <c r="G312" s="192">
        <f>G304</f>
        <v>0</v>
      </c>
      <c r="H312" s="192">
        <f>H304</f>
        <v>0</v>
      </c>
      <c r="I312" s="179" t="s">
        <v>288</v>
      </c>
      <c r="J312" s="179" t="s">
        <v>289</v>
      </c>
      <c r="K312" s="178"/>
      <c r="L312" s="178"/>
      <c r="M312" s="178"/>
      <c r="N312" s="178"/>
      <c r="O312" s="178"/>
      <c r="P312" s="178"/>
      <c r="Q312" s="29"/>
      <c r="R312" s="29"/>
      <c r="S312" s="29"/>
      <c r="T312" s="29"/>
      <c r="U312" s="29"/>
      <c r="V312" s="29"/>
    </row>
    <row r="313" spans="2:22" ht="13.5" customHeight="1">
      <c r="B313" s="55"/>
      <c r="C313" s="55"/>
      <c r="D313" s="178"/>
      <c r="E313" s="178"/>
      <c r="F313" s="182" t="s">
        <v>302</v>
      </c>
      <c r="G313" s="55">
        <f>J157</f>
        <v>0</v>
      </c>
      <c r="H313" s="55">
        <f>K157</f>
        <v>0</v>
      </c>
      <c r="I313" s="55">
        <f>G313-H313</f>
        <v>0</v>
      </c>
      <c r="J313" s="188" t="e">
        <f>I313/H313</f>
        <v>#DIV/0!</v>
      </c>
      <c r="K313" s="178"/>
      <c r="L313" s="178"/>
      <c r="M313" s="178"/>
      <c r="N313" s="178"/>
      <c r="O313" s="178"/>
      <c r="P313" s="178"/>
      <c r="Q313" s="29"/>
      <c r="R313" s="29"/>
      <c r="S313" s="29"/>
      <c r="T313" s="29"/>
      <c r="U313" s="29"/>
      <c r="V313" s="29"/>
    </row>
    <row r="314" spans="2:22" ht="13.5" customHeight="1">
      <c r="B314" s="55"/>
      <c r="C314" s="55"/>
      <c r="D314" s="178"/>
      <c r="E314" s="178"/>
      <c r="F314" s="182" t="s">
        <v>303</v>
      </c>
      <c r="G314" s="55">
        <f>J227</f>
        <v>0</v>
      </c>
      <c r="H314" s="55">
        <f>K227</f>
        <v>0</v>
      </c>
      <c r="I314" s="55">
        <f>G314-H314</f>
        <v>0</v>
      </c>
      <c r="J314" s="188" t="e">
        <f>I314/H314</f>
        <v>#DIV/0!</v>
      </c>
      <c r="K314" s="178"/>
      <c r="L314" s="178"/>
      <c r="M314" s="178"/>
      <c r="N314" s="178"/>
      <c r="O314" s="178"/>
      <c r="P314" s="178"/>
      <c r="Q314" s="29"/>
      <c r="R314" s="29"/>
      <c r="S314" s="29"/>
      <c r="T314" s="29"/>
      <c r="U314" s="29"/>
      <c r="V314" s="29"/>
    </row>
    <row r="315" spans="2:22" ht="13.5" customHeight="1">
      <c r="B315" s="55"/>
      <c r="C315" s="55"/>
      <c r="D315" s="178"/>
      <c r="E315" s="178"/>
      <c r="F315" s="182" t="s">
        <v>304</v>
      </c>
      <c r="G315" s="55">
        <f>SUM(G313:G314)</f>
        <v>0</v>
      </c>
      <c r="H315" s="55">
        <f>SUM(H313:H314)</f>
        <v>0</v>
      </c>
      <c r="I315" s="55">
        <f>SUM(I313:I314)</f>
        <v>0</v>
      </c>
      <c r="J315" s="188" t="e">
        <f>I315/H315</f>
        <v>#DIV/0!</v>
      </c>
      <c r="K315" s="178"/>
      <c r="L315" s="178"/>
      <c r="M315" s="178"/>
      <c r="N315" s="178"/>
      <c r="O315" s="178"/>
      <c r="P315" s="178"/>
      <c r="Q315" s="29"/>
      <c r="R315" s="29"/>
      <c r="S315" s="29"/>
      <c r="T315" s="29"/>
      <c r="U315" s="29"/>
      <c r="V315" s="29"/>
    </row>
    <row r="316" spans="2:22" ht="13.5" customHeight="1">
      <c r="B316" s="178"/>
      <c r="C316" s="178"/>
      <c r="D316" s="178"/>
      <c r="E316" s="178"/>
      <c r="F316" s="178" t="s">
        <v>137</v>
      </c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29"/>
      <c r="R316" s="29"/>
      <c r="S316" s="29"/>
      <c r="T316" s="29"/>
      <c r="U316" s="29"/>
      <c r="V316" s="29"/>
    </row>
    <row r="317" spans="2:22" ht="13.5" customHeight="1"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29"/>
      <c r="R317" s="29"/>
      <c r="S317" s="29"/>
      <c r="T317" s="29"/>
      <c r="U317" s="29"/>
      <c r="V317" s="29"/>
    </row>
    <row r="318" spans="2:22" ht="13.5" customHeight="1"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29"/>
      <c r="R318" s="29"/>
      <c r="S318" s="29"/>
      <c r="T318" s="29"/>
      <c r="U318" s="29"/>
      <c r="V318" s="29"/>
    </row>
    <row r="319" spans="2:22" ht="13.5" customHeight="1">
      <c r="B319" s="178"/>
      <c r="C319" s="178"/>
      <c r="D319" s="200" t="s">
        <v>306</v>
      </c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29"/>
      <c r="R319" s="29"/>
      <c r="S319" s="29"/>
      <c r="T319" s="29"/>
      <c r="U319" s="29"/>
      <c r="V319" s="29"/>
    </row>
    <row r="320" spans="2:22" ht="13.5" customHeight="1">
      <c r="B320" s="205"/>
      <c r="C320" s="205"/>
      <c r="D320" s="178"/>
      <c r="E320" s="178"/>
      <c r="F320" s="205" t="s">
        <v>307</v>
      </c>
      <c r="G320" s="205"/>
      <c r="H320" s="205"/>
      <c r="I320" s="205"/>
      <c r="J320" s="205"/>
      <c r="K320" s="205"/>
      <c r="L320" s="205"/>
      <c r="M320" s="205"/>
      <c r="N320" s="178"/>
      <c r="O320" s="178"/>
      <c r="P320" s="178"/>
      <c r="Q320" s="29"/>
      <c r="R320" s="29"/>
      <c r="S320" s="29"/>
      <c r="T320" s="29"/>
      <c r="U320" s="29"/>
      <c r="V320" s="29"/>
    </row>
    <row r="321" spans="2:22" ht="13.5" customHeight="1">
      <c r="B321" s="206"/>
      <c r="C321" s="206"/>
      <c r="D321" s="178"/>
      <c r="E321" s="178"/>
      <c r="F321" s="206" t="s">
        <v>276</v>
      </c>
      <c r="G321" s="192">
        <f>G304</f>
        <v>0</v>
      </c>
      <c r="H321" s="192">
        <f>H304</f>
        <v>0</v>
      </c>
      <c r="I321" s="206" t="s">
        <v>288</v>
      </c>
      <c r="J321" s="206" t="s">
        <v>289</v>
      </c>
      <c r="K321" s="208"/>
      <c r="L321" s="209"/>
      <c r="M321" s="205"/>
      <c r="N321" s="178"/>
      <c r="O321" s="178"/>
      <c r="P321" s="178"/>
      <c r="Q321" s="29"/>
      <c r="R321" s="29"/>
      <c r="S321" s="29"/>
      <c r="T321" s="29"/>
      <c r="U321" s="29"/>
      <c r="V321" s="29"/>
    </row>
    <row r="322" spans="2:22" ht="13.5" customHeight="1">
      <c r="B322" s="55"/>
      <c r="C322" s="55"/>
      <c r="D322" s="178"/>
      <c r="E322" s="178"/>
      <c r="F322" s="210" t="s">
        <v>308</v>
      </c>
      <c r="G322" s="55" t="e">
        <f>J118*12/CurMonths</f>
        <v>#DIV/0!</v>
      </c>
      <c r="H322" s="55" t="e">
        <f>K118*12/PriorMonths</f>
        <v>#DIV/0!</v>
      </c>
      <c r="I322" s="55" t="e">
        <f>G322-H322</f>
        <v>#DIV/0!</v>
      </c>
      <c r="J322" s="211" t="e">
        <f>I322/H322</f>
        <v>#DIV/0!</v>
      </c>
      <c r="K322" s="212"/>
      <c r="L322" s="205"/>
      <c r="M322" s="205"/>
      <c r="N322" s="178"/>
      <c r="O322" s="178"/>
      <c r="P322" s="178"/>
      <c r="Q322" s="29"/>
      <c r="R322" s="29"/>
      <c r="S322" s="29"/>
      <c r="T322" s="29"/>
      <c r="U322" s="29"/>
      <c r="V322" s="29"/>
    </row>
    <row r="323" spans="2:22" ht="13.5" customHeight="1">
      <c r="B323" s="55"/>
      <c r="C323" s="55"/>
      <c r="D323" s="178"/>
      <c r="E323" s="178"/>
      <c r="F323" s="210" t="s">
        <v>309</v>
      </c>
      <c r="G323" s="55">
        <f>H324</f>
        <v>0</v>
      </c>
      <c r="H323" s="273"/>
      <c r="I323" s="55">
        <f>G323-H323</f>
        <v>0</v>
      </c>
      <c r="J323" s="211" t="e">
        <f>I323/H323</f>
        <v>#DIV/0!</v>
      </c>
      <c r="K323" s="212"/>
      <c r="L323" s="205"/>
      <c r="M323" s="205"/>
      <c r="N323" s="178"/>
      <c r="O323" s="178"/>
      <c r="P323" s="178"/>
      <c r="Q323" s="29"/>
      <c r="R323" s="29"/>
      <c r="S323" s="29"/>
      <c r="T323" s="29"/>
      <c r="U323" s="29"/>
      <c r="V323" s="29"/>
    </row>
    <row r="324" spans="2:22" ht="13.5" customHeight="1">
      <c r="B324" s="55"/>
      <c r="C324" s="55"/>
      <c r="D324" s="178"/>
      <c r="E324" s="178"/>
      <c r="F324" s="210" t="s">
        <v>310</v>
      </c>
      <c r="G324" s="55">
        <f>J19+J20</f>
        <v>0</v>
      </c>
      <c r="H324" s="55">
        <f>K19+K20</f>
        <v>0</v>
      </c>
      <c r="I324" s="55">
        <f>G324-H324</f>
        <v>0</v>
      </c>
      <c r="J324" s="211" t="e">
        <f>I324/H324</f>
        <v>#DIV/0!</v>
      </c>
      <c r="K324" s="212"/>
      <c r="L324" s="205"/>
      <c r="M324" s="205"/>
      <c r="N324" s="178"/>
      <c r="O324" s="178"/>
      <c r="P324" s="178"/>
      <c r="Q324" s="29"/>
      <c r="R324" s="29"/>
      <c r="S324" s="29"/>
      <c r="T324" s="29"/>
      <c r="U324" s="29"/>
      <c r="V324" s="29"/>
    </row>
    <row r="325" spans="2:22" ht="13.5" customHeight="1">
      <c r="B325" s="55"/>
      <c r="C325" s="55"/>
      <c r="D325" s="178"/>
      <c r="E325" s="178"/>
      <c r="F325" s="210" t="s">
        <v>311</v>
      </c>
      <c r="G325" s="55">
        <f>AVERAGE(G323:G324)</f>
        <v>0</v>
      </c>
      <c r="H325" s="55">
        <f>AVERAGE(H323:H324)</f>
        <v>0</v>
      </c>
      <c r="I325" s="55">
        <f>G325-H325</f>
        <v>0</v>
      </c>
      <c r="J325" s="211" t="e">
        <f>I325/H325</f>
        <v>#DIV/0!</v>
      </c>
      <c r="K325" s="212"/>
      <c r="L325" s="205"/>
      <c r="M325" s="205"/>
      <c r="N325" s="178"/>
      <c r="O325" s="178"/>
      <c r="P325" s="178"/>
      <c r="Q325" s="29"/>
      <c r="R325" s="29"/>
      <c r="S325" s="29"/>
      <c r="T325" s="29"/>
      <c r="U325" s="29"/>
      <c r="V325" s="29"/>
    </row>
    <row r="326" spans="2:22" ht="13.5" customHeight="1">
      <c r="B326" s="213"/>
      <c r="C326" s="213"/>
      <c r="D326" s="178"/>
      <c r="E326" s="178"/>
      <c r="F326" s="210" t="s">
        <v>312</v>
      </c>
      <c r="G326" s="213" t="e">
        <f>G322/G325</f>
        <v>#DIV/0!</v>
      </c>
      <c r="H326" s="213" t="e">
        <f>H322/H325</f>
        <v>#DIV/0!</v>
      </c>
      <c r="I326" s="213"/>
      <c r="J326" s="210"/>
      <c r="K326" s="205"/>
      <c r="L326" s="214"/>
      <c r="M326" s="205"/>
      <c r="N326" s="178"/>
      <c r="O326" s="178"/>
      <c r="P326" s="178"/>
      <c r="Q326" s="29"/>
      <c r="R326" s="29"/>
      <c r="S326" s="29"/>
      <c r="T326" s="29"/>
      <c r="U326" s="29"/>
      <c r="V326" s="29"/>
    </row>
    <row r="327" spans="2:22" ht="13.5" customHeight="1">
      <c r="B327" s="210"/>
      <c r="C327" s="210"/>
      <c r="D327" s="178"/>
      <c r="E327" s="178"/>
      <c r="F327" s="210" t="s">
        <v>313</v>
      </c>
      <c r="G327" s="210" t="e">
        <f>ROUND(365/G326,)</f>
        <v>#DIV/0!</v>
      </c>
      <c r="H327" s="210" t="e">
        <f>ROUND(365/H326,)</f>
        <v>#DIV/0!</v>
      </c>
      <c r="I327" s="210" t="e">
        <f>G327-H327</f>
        <v>#DIV/0!</v>
      </c>
      <c r="J327" s="210"/>
      <c r="K327" s="205"/>
      <c r="L327" s="205"/>
      <c r="M327" s="205"/>
      <c r="N327" s="178"/>
      <c r="O327" s="178"/>
      <c r="P327" s="178"/>
      <c r="Q327" s="29"/>
      <c r="R327" s="29"/>
      <c r="S327" s="29"/>
      <c r="T327" s="29"/>
      <c r="U327" s="29"/>
      <c r="V327" s="29"/>
    </row>
    <row r="328" spans="2:22" ht="13.5" customHeight="1">
      <c r="B328" s="205"/>
      <c r="C328" s="205"/>
      <c r="D328" s="178"/>
      <c r="E328" s="178"/>
      <c r="F328" s="205" t="s">
        <v>137</v>
      </c>
      <c r="G328" s="205"/>
      <c r="H328" s="205"/>
      <c r="I328" s="205"/>
      <c r="J328" s="205"/>
      <c r="K328" s="205"/>
      <c r="L328" s="205"/>
      <c r="M328" s="205"/>
      <c r="N328" s="178"/>
      <c r="O328" s="178"/>
      <c r="P328" s="178"/>
      <c r="Q328" s="29"/>
      <c r="R328" s="29"/>
      <c r="S328" s="29"/>
      <c r="T328" s="29"/>
      <c r="U328" s="29"/>
      <c r="V328" s="29"/>
    </row>
    <row r="329" spans="2:22" ht="13.5" customHeight="1">
      <c r="B329" s="205"/>
      <c r="C329" s="205"/>
      <c r="D329" s="178"/>
      <c r="E329" s="178"/>
      <c r="F329" s="205"/>
      <c r="G329" s="215"/>
      <c r="H329" s="205"/>
      <c r="I329" s="205"/>
      <c r="J329" s="205"/>
      <c r="K329" s="205"/>
      <c r="L329" s="205"/>
      <c r="M329" s="205"/>
      <c r="N329" s="178"/>
      <c r="O329" s="178"/>
      <c r="P329" s="178"/>
      <c r="Q329" s="29"/>
      <c r="R329" s="29"/>
      <c r="S329" s="29"/>
      <c r="T329" s="29"/>
      <c r="U329" s="29"/>
      <c r="V329" s="29"/>
    </row>
    <row r="330" spans="2:22" ht="13.5" customHeight="1">
      <c r="B330" s="205"/>
      <c r="C330" s="205"/>
      <c r="D330" s="178"/>
      <c r="E330" s="178"/>
      <c r="F330" s="205"/>
      <c r="G330" s="215"/>
      <c r="H330" s="205"/>
      <c r="I330" s="205"/>
      <c r="J330" s="205"/>
      <c r="K330" s="205"/>
      <c r="L330" s="205"/>
      <c r="M330" s="205"/>
      <c r="N330" s="178"/>
      <c r="O330" s="178"/>
      <c r="P330" s="178"/>
      <c r="Q330" s="29"/>
      <c r="R330" s="29"/>
      <c r="S330" s="29"/>
      <c r="T330" s="29"/>
      <c r="U330" s="29"/>
      <c r="V330" s="29"/>
    </row>
    <row r="331" spans="2:22" ht="13.5" customHeight="1"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29"/>
      <c r="R331" s="29"/>
      <c r="S331" s="29"/>
      <c r="T331" s="29"/>
      <c r="U331" s="29"/>
      <c r="V331" s="29"/>
    </row>
    <row r="332" spans="2:22" ht="13.5" customHeight="1">
      <c r="B332" s="205"/>
      <c r="C332" s="205"/>
      <c r="D332" s="216" t="s">
        <v>314</v>
      </c>
      <c r="E332" s="178"/>
      <c r="F332" s="217"/>
      <c r="G332" s="205"/>
      <c r="H332" s="205"/>
      <c r="I332" s="205"/>
      <c r="J332" s="205"/>
      <c r="K332" s="205"/>
      <c r="L332" s="205"/>
      <c r="M332" s="205"/>
      <c r="N332" s="178"/>
      <c r="O332" s="178"/>
      <c r="P332" s="178"/>
      <c r="Q332" s="29"/>
      <c r="R332" s="29"/>
      <c r="S332" s="29"/>
      <c r="T332" s="29"/>
      <c r="U332" s="29"/>
      <c r="V332" s="29"/>
    </row>
    <row r="333" spans="2:22" ht="13.5" customHeight="1">
      <c r="B333" s="205"/>
      <c r="C333" s="205"/>
      <c r="D333" s="178"/>
      <c r="E333" s="217" t="s">
        <v>315</v>
      </c>
      <c r="G333" s="205"/>
      <c r="H333" s="205"/>
      <c r="I333" s="205"/>
      <c r="J333" s="205"/>
      <c r="K333" s="205"/>
      <c r="L333" s="205"/>
      <c r="M333" s="205"/>
      <c r="N333" s="178"/>
      <c r="O333" s="178"/>
      <c r="P333" s="178"/>
      <c r="Q333" s="29"/>
      <c r="R333" s="29"/>
      <c r="S333" s="29"/>
      <c r="T333" s="29"/>
      <c r="U333" s="29"/>
      <c r="V333" s="29"/>
    </row>
    <row r="334" spans="2:22" ht="13.5" customHeight="1">
      <c r="B334" s="206"/>
      <c r="C334" s="206"/>
      <c r="D334" s="178"/>
      <c r="E334" s="178"/>
      <c r="F334" s="207" t="s">
        <v>276</v>
      </c>
      <c r="G334" s="192">
        <f>G321</f>
        <v>0</v>
      </c>
      <c r="H334" s="192">
        <f>H321</f>
        <v>0</v>
      </c>
      <c r="I334" s="206" t="s">
        <v>288</v>
      </c>
      <c r="J334" s="206" t="s">
        <v>289</v>
      </c>
      <c r="K334" s="208"/>
      <c r="L334" s="208"/>
      <c r="M334" s="208"/>
      <c r="N334" s="178"/>
      <c r="O334" s="178"/>
      <c r="P334" s="178"/>
      <c r="Q334" s="29"/>
      <c r="R334" s="29"/>
      <c r="S334" s="29"/>
      <c r="T334" s="29"/>
      <c r="U334" s="29"/>
      <c r="V334" s="29"/>
    </row>
    <row r="335" spans="2:22" ht="13.5" customHeight="1">
      <c r="B335" s="55"/>
      <c r="C335" s="55"/>
      <c r="D335" s="178"/>
      <c r="E335" s="178"/>
      <c r="F335" s="218" t="s">
        <v>316</v>
      </c>
      <c r="G335" s="55">
        <f>J34</f>
        <v>0</v>
      </c>
      <c r="H335" s="55">
        <f>K34</f>
        <v>0</v>
      </c>
      <c r="I335" s="55">
        <f>G335-H335</f>
        <v>0</v>
      </c>
      <c r="J335" s="211" t="e">
        <f>I335/H335</f>
        <v>#DIV/0!</v>
      </c>
      <c r="K335" s="212"/>
      <c r="L335" s="212"/>
      <c r="M335" s="212"/>
      <c r="N335" s="178"/>
      <c r="O335" s="178"/>
      <c r="P335" s="178"/>
      <c r="Q335" s="29"/>
      <c r="R335" s="29"/>
      <c r="S335" s="29"/>
      <c r="T335" s="29"/>
      <c r="U335" s="29"/>
      <c r="V335" s="29"/>
    </row>
    <row r="336" spans="2:22" ht="13.5" customHeight="1">
      <c r="B336" s="55"/>
      <c r="C336" s="55"/>
      <c r="D336" s="178"/>
      <c r="E336" s="178"/>
      <c r="F336" s="218" t="s">
        <v>317</v>
      </c>
      <c r="G336" s="55">
        <f>J35</f>
        <v>0</v>
      </c>
      <c r="H336" s="55">
        <f>K35</f>
        <v>0</v>
      </c>
      <c r="I336" s="55">
        <f>G336-H336</f>
        <v>0</v>
      </c>
      <c r="J336" s="211" t="e">
        <f>I336/H336</f>
        <v>#DIV/0!</v>
      </c>
      <c r="K336" s="212"/>
      <c r="L336" s="212"/>
      <c r="M336" s="212"/>
      <c r="N336" s="178"/>
      <c r="O336" s="178"/>
      <c r="P336" s="178"/>
      <c r="Q336" s="29"/>
      <c r="R336" s="29"/>
      <c r="S336" s="29"/>
      <c r="T336" s="29"/>
      <c r="U336" s="29"/>
      <c r="V336" s="29"/>
    </row>
    <row r="337" spans="2:22" ht="13.5" customHeight="1">
      <c r="B337" s="55"/>
      <c r="C337" s="55"/>
      <c r="D337" s="178"/>
      <c r="E337" s="178"/>
      <c r="F337" s="218" t="s">
        <v>57</v>
      </c>
      <c r="G337" s="55">
        <f>J32</f>
        <v>0</v>
      </c>
      <c r="H337" s="55">
        <f>K32</f>
        <v>0</v>
      </c>
      <c r="I337" s="55">
        <f>G337-H337</f>
        <v>0</v>
      </c>
      <c r="J337" s="211" t="e">
        <f>I337/H337</f>
        <v>#DIV/0!</v>
      </c>
      <c r="K337" s="212"/>
      <c r="L337" s="212"/>
      <c r="M337" s="212"/>
      <c r="N337" s="178"/>
      <c r="O337" s="178"/>
      <c r="P337" s="178"/>
      <c r="Q337" s="29"/>
      <c r="R337" s="29"/>
      <c r="S337" s="29"/>
      <c r="T337" s="29"/>
      <c r="U337" s="29"/>
      <c r="V337" s="29"/>
    </row>
    <row r="338" spans="2:22" ht="13.5" customHeight="1">
      <c r="B338" s="55"/>
      <c r="C338" s="55"/>
      <c r="D338" s="178"/>
      <c r="E338" s="178"/>
      <c r="F338" s="218" t="s">
        <v>318</v>
      </c>
      <c r="G338" s="55">
        <f>J33</f>
        <v>0</v>
      </c>
      <c r="H338" s="55">
        <f>K33</f>
        <v>0</v>
      </c>
      <c r="I338" s="55">
        <f>G338-H338</f>
        <v>0</v>
      </c>
      <c r="J338" s="211" t="e">
        <f>I338/H338</f>
        <v>#DIV/0!</v>
      </c>
      <c r="K338" s="212"/>
      <c r="L338" s="212"/>
      <c r="M338" s="212"/>
      <c r="N338" s="178"/>
      <c r="O338" s="178"/>
      <c r="P338" s="178"/>
      <c r="Q338" s="29"/>
      <c r="R338" s="29"/>
      <c r="S338" s="29"/>
      <c r="T338" s="29"/>
      <c r="U338" s="29"/>
      <c r="V338" s="29"/>
    </row>
    <row r="339" spans="2:22" ht="13.5" customHeight="1">
      <c r="B339" s="55"/>
      <c r="C339" s="55"/>
      <c r="D339" s="178"/>
      <c r="E339" s="178"/>
      <c r="F339" s="218" t="s">
        <v>13</v>
      </c>
      <c r="G339" s="55">
        <f>J36</f>
        <v>0</v>
      </c>
      <c r="H339" s="55">
        <f>K36</f>
        <v>0</v>
      </c>
      <c r="I339" s="55">
        <f>G339-H339</f>
        <v>0</v>
      </c>
      <c r="J339" s="211" t="e">
        <f>I339/H339</f>
        <v>#DIV/0!</v>
      </c>
      <c r="K339" s="212"/>
      <c r="L339" s="212"/>
      <c r="M339" s="212"/>
      <c r="N339" s="178"/>
      <c r="O339" s="178"/>
      <c r="P339" s="178"/>
      <c r="Q339" s="29"/>
      <c r="R339" s="29"/>
      <c r="S339" s="29"/>
      <c r="T339" s="29"/>
      <c r="U339" s="29"/>
      <c r="V339" s="29"/>
    </row>
    <row r="340" spans="2:22" ht="13.5" customHeight="1">
      <c r="B340" s="55"/>
      <c r="C340" s="55"/>
      <c r="D340" s="178"/>
      <c r="E340" s="178"/>
      <c r="F340" s="218" t="s">
        <v>319</v>
      </c>
      <c r="G340" s="55">
        <f>J37</f>
        <v>0</v>
      </c>
      <c r="H340" s="55">
        <f>K37</f>
        <v>0</v>
      </c>
      <c r="I340" s="55">
        <f>G340-H340</f>
        <v>0</v>
      </c>
      <c r="J340" s="211" t="e">
        <f>I340/H340</f>
        <v>#DIV/0!</v>
      </c>
      <c r="K340" s="212"/>
      <c r="L340" s="212"/>
      <c r="M340" s="212"/>
      <c r="N340" s="178"/>
      <c r="O340" s="178"/>
      <c r="P340" s="178"/>
      <c r="Q340" s="29"/>
      <c r="R340" s="29"/>
      <c r="S340" s="29"/>
      <c r="T340" s="29"/>
      <c r="U340" s="29"/>
      <c r="V340" s="29"/>
    </row>
    <row r="341" spans="2:22" ht="13.5" customHeight="1">
      <c r="B341" s="55"/>
      <c r="C341" s="55"/>
      <c r="D341" s="178"/>
      <c r="E341" s="178"/>
      <c r="F341" s="218" t="s">
        <v>14</v>
      </c>
      <c r="G341" s="55">
        <f>J38</f>
        <v>0</v>
      </c>
      <c r="H341" s="55">
        <f>K38</f>
        <v>0</v>
      </c>
      <c r="I341" s="55">
        <f>G341-H341</f>
        <v>0</v>
      </c>
      <c r="J341" s="211" t="e">
        <f>I341/H341</f>
        <v>#DIV/0!</v>
      </c>
      <c r="K341" s="212"/>
      <c r="L341" s="29"/>
      <c r="M341" s="212"/>
      <c r="N341" s="178"/>
      <c r="O341" s="178"/>
      <c r="P341" s="178"/>
      <c r="Q341" s="29"/>
      <c r="R341" s="29"/>
      <c r="S341" s="29"/>
      <c r="T341" s="29"/>
      <c r="U341" s="29"/>
      <c r="V341" s="29"/>
    </row>
    <row r="342" spans="2:22" ht="13.5" customHeight="1">
      <c r="B342" s="55"/>
      <c r="C342" s="55"/>
      <c r="D342" s="178"/>
      <c r="E342" s="178"/>
      <c r="F342" s="218" t="s">
        <v>320</v>
      </c>
      <c r="G342" s="55">
        <f>J39</f>
        <v>0</v>
      </c>
      <c r="H342" s="55">
        <f>K39</f>
        <v>0</v>
      </c>
      <c r="I342" s="55">
        <f>G342-H342</f>
        <v>0</v>
      </c>
      <c r="J342" s="211" t="e">
        <f>I342/H342</f>
        <v>#DIV/0!</v>
      </c>
      <c r="K342" s="212"/>
      <c r="L342" s="212"/>
      <c r="M342" s="212"/>
      <c r="N342" s="178"/>
      <c r="O342" s="178"/>
      <c r="P342" s="178"/>
      <c r="Q342" s="29"/>
      <c r="R342" s="29"/>
      <c r="S342" s="29"/>
      <c r="T342" s="29"/>
      <c r="U342" s="29"/>
      <c r="V342" s="29"/>
    </row>
    <row r="343" spans="2:22" ht="13.5" customHeight="1">
      <c r="B343" s="55"/>
      <c r="C343" s="55"/>
      <c r="D343" s="178"/>
      <c r="E343" s="178"/>
      <c r="F343" s="218" t="s">
        <v>304</v>
      </c>
      <c r="G343" s="55">
        <f>SUM(G335:G342)</f>
        <v>0</v>
      </c>
      <c r="H343" s="55">
        <f>SUM(H335:H342)</f>
        <v>0</v>
      </c>
      <c r="I343" s="55">
        <f>SUM(I335:I342)</f>
        <v>0</v>
      </c>
      <c r="J343" s="211" t="e">
        <f>I343/H343</f>
        <v>#DIV/0!</v>
      </c>
      <c r="K343" s="212"/>
      <c r="L343" s="205"/>
      <c r="M343" s="205"/>
      <c r="N343" s="178"/>
      <c r="O343" s="178"/>
      <c r="P343" s="178"/>
      <c r="Q343" s="29"/>
      <c r="R343" s="29"/>
      <c r="S343" s="29"/>
      <c r="T343" s="29"/>
      <c r="U343" s="29"/>
      <c r="V343" s="29"/>
    </row>
    <row r="344" spans="2:22" ht="13.5" customHeight="1">
      <c r="B344" s="55"/>
      <c r="C344" s="55"/>
      <c r="D344" s="178"/>
      <c r="E344" s="178"/>
      <c r="F344" s="218" t="s">
        <v>321</v>
      </c>
      <c r="G344" s="55">
        <f>J76</f>
        <v>0</v>
      </c>
      <c r="H344" s="55">
        <f>K76</f>
        <v>0</v>
      </c>
      <c r="I344" s="55">
        <f>G344-H344</f>
        <v>0</v>
      </c>
      <c r="J344" s="211" t="e">
        <f>I344/H344</f>
        <v>#DIV/0!</v>
      </c>
      <c r="K344" s="212"/>
      <c r="L344" s="205"/>
      <c r="M344" s="205"/>
      <c r="N344" s="178"/>
      <c r="O344" s="178"/>
      <c r="P344" s="178"/>
      <c r="Q344" s="29"/>
      <c r="R344" s="29"/>
      <c r="S344" s="29"/>
      <c r="T344" s="29"/>
      <c r="U344" s="29"/>
      <c r="V344" s="29"/>
    </row>
    <row r="345" spans="2:22" ht="13.5" customHeight="1">
      <c r="B345" s="211"/>
      <c r="C345" s="211"/>
      <c r="D345" s="178"/>
      <c r="E345" s="178"/>
      <c r="F345" s="218" t="s">
        <v>322</v>
      </c>
      <c r="G345" s="211" t="e">
        <f>G343/G344</f>
        <v>#DIV/0!</v>
      </c>
      <c r="H345" s="211" t="e">
        <f>H343/H344</f>
        <v>#DIV/0!</v>
      </c>
      <c r="I345" s="211" t="e">
        <f>G345-H345</f>
        <v>#DIV/0!</v>
      </c>
      <c r="J345" s="211"/>
      <c r="K345" s="212"/>
      <c r="L345" s="205"/>
      <c r="M345" s="205"/>
      <c r="N345" s="178"/>
      <c r="O345" s="178"/>
      <c r="P345" s="178"/>
      <c r="Q345" s="29"/>
      <c r="R345" s="29"/>
      <c r="S345" s="29"/>
      <c r="T345" s="29"/>
      <c r="U345" s="29"/>
      <c r="V345" s="29"/>
    </row>
    <row r="346" spans="2:22" ht="13.5" customHeight="1">
      <c r="B346" s="205"/>
      <c r="C346" s="205"/>
      <c r="D346" s="178"/>
      <c r="E346" s="178"/>
      <c r="F346" s="217"/>
      <c r="G346" s="205"/>
      <c r="H346" s="205"/>
      <c r="I346" s="205"/>
      <c r="J346" s="205"/>
      <c r="K346" s="205"/>
      <c r="L346" s="205"/>
      <c r="M346" s="205"/>
      <c r="N346" s="178"/>
      <c r="O346" s="178"/>
      <c r="P346" s="178"/>
      <c r="Q346" s="29"/>
      <c r="R346" s="29"/>
      <c r="S346" s="29"/>
      <c r="T346" s="29"/>
      <c r="U346" s="29"/>
      <c r="V346" s="29"/>
    </row>
    <row r="347" spans="2:22" ht="13.5" customHeight="1">
      <c r="B347" s="205"/>
      <c r="C347" s="205"/>
      <c r="D347" s="178"/>
      <c r="E347" s="178"/>
      <c r="F347" s="217" t="s">
        <v>137</v>
      </c>
      <c r="G347" s="205"/>
      <c r="H347" s="205"/>
      <c r="I347" s="205"/>
      <c r="J347" s="205"/>
      <c r="K347" s="205"/>
      <c r="L347" s="205"/>
      <c r="M347" s="205"/>
      <c r="N347" s="178"/>
      <c r="O347" s="178"/>
      <c r="P347" s="178"/>
      <c r="Q347" s="29"/>
      <c r="R347" s="29"/>
      <c r="S347" s="29"/>
      <c r="T347" s="29"/>
      <c r="U347" s="29"/>
      <c r="V347" s="29"/>
    </row>
    <row r="348" spans="2:22" ht="13.5" customHeight="1">
      <c r="B348" s="205"/>
      <c r="C348" s="205"/>
      <c r="D348" s="178"/>
      <c r="E348" s="178"/>
      <c r="F348" s="217"/>
      <c r="G348" s="205"/>
      <c r="H348" s="205"/>
      <c r="I348" s="205"/>
      <c r="J348" s="205"/>
      <c r="K348" s="205"/>
      <c r="L348" s="205"/>
      <c r="M348" s="205"/>
      <c r="N348" s="178"/>
      <c r="O348" s="178"/>
      <c r="P348" s="178"/>
      <c r="Q348" s="29"/>
      <c r="R348" s="29"/>
      <c r="S348" s="29"/>
      <c r="T348" s="29"/>
      <c r="U348" s="29"/>
      <c r="V348" s="29"/>
    </row>
    <row r="349" spans="2:22" ht="13.5" customHeight="1">
      <c r="B349" s="205"/>
      <c r="C349" s="205"/>
      <c r="D349" s="178"/>
      <c r="E349" s="178"/>
      <c r="F349" s="217"/>
      <c r="G349" s="205"/>
      <c r="H349" s="205"/>
      <c r="I349" s="205"/>
      <c r="J349" s="205"/>
      <c r="K349" s="205"/>
      <c r="L349" s="205"/>
      <c r="M349" s="205"/>
      <c r="N349" s="178"/>
      <c r="O349" s="178"/>
      <c r="P349" s="178"/>
      <c r="Q349" s="29"/>
      <c r="R349" s="29"/>
      <c r="S349" s="29"/>
      <c r="T349" s="29"/>
      <c r="U349" s="29"/>
      <c r="V349" s="29"/>
    </row>
    <row r="350" spans="2:22" ht="13.5" customHeight="1">
      <c r="B350" s="205"/>
      <c r="C350" s="205"/>
      <c r="D350" s="178"/>
      <c r="E350" s="178"/>
      <c r="F350" s="217"/>
      <c r="G350" s="205"/>
      <c r="H350" s="205"/>
      <c r="I350" s="205"/>
      <c r="J350" s="205"/>
      <c r="K350" s="205"/>
      <c r="L350" s="205"/>
      <c r="M350" s="205"/>
      <c r="N350" s="178"/>
      <c r="O350" s="178"/>
      <c r="P350" s="178"/>
      <c r="Q350" s="29"/>
      <c r="R350" s="29"/>
      <c r="S350" s="29"/>
      <c r="T350" s="29"/>
      <c r="U350" s="29"/>
      <c r="V350" s="29"/>
    </row>
    <row r="351" spans="2:22" ht="13.5" customHeight="1">
      <c r="B351" s="205"/>
      <c r="C351" s="205"/>
      <c r="D351" s="178"/>
      <c r="E351" s="205" t="s">
        <v>323</v>
      </c>
      <c r="G351" s="205"/>
      <c r="H351" s="205"/>
      <c r="I351" s="205"/>
      <c r="J351" s="205"/>
      <c r="K351" s="205"/>
      <c r="L351" s="205"/>
      <c r="M351" s="205"/>
      <c r="N351" s="178"/>
      <c r="O351" s="178"/>
      <c r="P351" s="178"/>
      <c r="Q351" s="29"/>
      <c r="R351" s="29"/>
      <c r="S351" s="29"/>
      <c r="T351" s="29"/>
      <c r="U351" s="29"/>
      <c r="V351" s="29"/>
    </row>
    <row r="352" spans="2:22" ht="13.5" customHeight="1">
      <c r="B352" s="205"/>
      <c r="C352" s="205"/>
      <c r="D352" s="178"/>
      <c r="E352" s="178"/>
      <c r="F352" s="205" t="s">
        <v>324</v>
      </c>
      <c r="G352" s="205"/>
      <c r="H352" s="205"/>
      <c r="I352" s="205"/>
      <c r="J352" s="205"/>
      <c r="K352" s="205"/>
      <c r="L352" s="205"/>
      <c r="M352" s="205"/>
      <c r="N352" s="178"/>
      <c r="O352" s="178"/>
      <c r="P352" s="178"/>
      <c r="Q352" s="29"/>
      <c r="R352" s="29"/>
      <c r="S352" s="29"/>
      <c r="T352" s="29"/>
      <c r="U352" s="29"/>
      <c r="V352" s="29"/>
    </row>
    <row r="353" spans="2:22" ht="13.5" customHeight="1">
      <c r="B353" s="207"/>
      <c r="C353" s="207"/>
      <c r="D353" s="178"/>
      <c r="E353" s="178"/>
      <c r="F353" s="206" t="s">
        <v>276</v>
      </c>
      <c r="G353" s="192">
        <f>G334</f>
        <v>0</v>
      </c>
      <c r="H353" s="192">
        <f>H334</f>
        <v>0</v>
      </c>
      <c r="I353" s="207" t="s">
        <v>288</v>
      </c>
      <c r="J353" s="207" t="s">
        <v>289</v>
      </c>
      <c r="K353" s="209"/>
      <c r="L353" s="209"/>
      <c r="M353" s="205"/>
      <c r="N353" s="178"/>
      <c r="O353" s="178"/>
      <c r="P353" s="178"/>
      <c r="Q353" s="29"/>
      <c r="R353" s="29"/>
      <c r="S353" s="29"/>
      <c r="T353" s="29"/>
      <c r="U353" s="29"/>
      <c r="V353" s="29"/>
    </row>
    <row r="354" spans="2:22" ht="13.5" customHeight="1">
      <c r="B354" s="210"/>
      <c r="C354" s="210"/>
      <c r="D354" s="178"/>
      <c r="E354" s="178"/>
      <c r="F354" s="219" t="s">
        <v>325</v>
      </c>
      <c r="G354" s="210" t="e">
        <f>J209*12/CurMonths</f>
        <v>#DIV/0!</v>
      </c>
      <c r="H354" s="210" t="e">
        <f>K209*12/PriorMonths</f>
        <v>#DIV/0!</v>
      </c>
      <c r="I354" s="210" t="e">
        <f>G354-H354</f>
        <v>#DIV/0!</v>
      </c>
      <c r="J354" s="211" t="e">
        <f>I354/H354</f>
        <v>#DIV/0!</v>
      </c>
      <c r="K354" s="212"/>
      <c r="L354" s="205"/>
      <c r="M354" s="205"/>
      <c r="N354" s="178"/>
      <c r="O354" s="178"/>
      <c r="P354" s="178"/>
      <c r="Q354" s="29"/>
      <c r="R354" s="29"/>
      <c r="S354" s="29"/>
      <c r="T354" s="29"/>
      <c r="U354" s="29"/>
      <c r="V354" s="29"/>
    </row>
    <row r="355" spans="2:22" ht="13.5" customHeight="1">
      <c r="B355" s="210"/>
      <c r="C355" s="210"/>
      <c r="D355" s="178"/>
      <c r="E355" s="178"/>
      <c r="F355" s="219" t="s">
        <v>326</v>
      </c>
      <c r="G355" s="210">
        <f>H356</f>
        <v>0</v>
      </c>
      <c r="H355" s="290"/>
      <c r="I355" s="210">
        <f>G355-H355</f>
        <v>0</v>
      </c>
      <c r="J355" s="211" t="e">
        <f>I355/H355</f>
        <v>#DIV/0!</v>
      </c>
      <c r="K355" s="212"/>
      <c r="L355" s="205"/>
      <c r="M355" s="205"/>
      <c r="N355" s="178"/>
      <c r="O355" s="178"/>
      <c r="P355" s="178"/>
      <c r="Q355" s="29"/>
      <c r="R355" s="29"/>
      <c r="S355" s="29"/>
      <c r="T355" s="29"/>
      <c r="U355" s="29"/>
      <c r="V355" s="29"/>
    </row>
    <row r="356" spans="2:22" ht="13.5" customHeight="1">
      <c r="B356" s="210"/>
      <c r="C356" s="210"/>
      <c r="D356" s="178"/>
      <c r="E356" s="178"/>
      <c r="F356" s="219" t="s">
        <v>327</v>
      </c>
      <c r="G356" s="210">
        <f>G341+G342</f>
        <v>0</v>
      </c>
      <c r="H356" s="210">
        <f>H341+H342</f>
        <v>0</v>
      </c>
      <c r="I356" s="210">
        <f>G356-H356</f>
        <v>0</v>
      </c>
      <c r="J356" s="211" t="e">
        <f>I356/H356</f>
        <v>#DIV/0!</v>
      </c>
      <c r="K356" s="212"/>
      <c r="L356" s="205"/>
      <c r="M356" s="205"/>
      <c r="N356" s="178"/>
      <c r="O356" s="178"/>
      <c r="P356" s="178"/>
      <c r="Q356" s="29"/>
      <c r="R356" s="29"/>
      <c r="S356" s="29"/>
      <c r="T356" s="29"/>
      <c r="U356" s="29"/>
      <c r="V356" s="29"/>
    </row>
    <row r="357" spans="2:22" ht="13.5" customHeight="1">
      <c r="B357" s="210"/>
      <c r="C357" s="210"/>
      <c r="D357" s="178"/>
      <c r="E357" s="178"/>
      <c r="F357" s="219" t="s">
        <v>328</v>
      </c>
      <c r="G357" s="210">
        <f>AVERAGE(G355:G356)</f>
        <v>0</v>
      </c>
      <c r="H357" s="210">
        <f>AVERAGE(H355:H356)</f>
        <v>0</v>
      </c>
      <c r="I357" s="210">
        <f>G357-H357</f>
        <v>0</v>
      </c>
      <c r="J357" s="211" t="e">
        <f>I357/H357</f>
        <v>#DIV/0!</v>
      </c>
      <c r="K357" s="212"/>
      <c r="L357" s="205"/>
      <c r="M357" s="205"/>
      <c r="N357" s="178"/>
      <c r="O357" s="178"/>
      <c r="P357" s="178"/>
      <c r="Q357" s="29"/>
      <c r="R357" s="29"/>
      <c r="S357" s="29"/>
      <c r="T357" s="29"/>
      <c r="U357" s="29"/>
      <c r="V357" s="29"/>
    </row>
    <row r="358" spans="2:22" ht="13.5" customHeight="1">
      <c r="B358" s="213"/>
      <c r="C358" s="213"/>
      <c r="D358" s="178"/>
      <c r="E358" s="178"/>
      <c r="F358" s="219" t="s">
        <v>329</v>
      </c>
      <c r="G358" s="213" t="e">
        <f>G354/G357</f>
        <v>#DIV/0!</v>
      </c>
      <c r="H358" s="213" t="e">
        <f>H354/H357</f>
        <v>#DIV/0!</v>
      </c>
      <c r="I358" s="213" t="e">
        <f>G358-H358</f>
        <v>#DIV/0!</v>
      </c>
      <c r="J358" s="211"/>
      <c r="K358" s="212"/>
      <c r="L358" s="205"/>
      <c r="M358" s="205"/>
      <c r="N358" s="178"/>
      <c r="O358" s="178"/>
      <c r="P358" s="178"/>
      <c r="Q358" s="29"/>
      <c r="R358" s="29"/>
      <c r="S358" s="29"/>
      <c r="T358" s="29"/>
      <c r="U358" s="29"/>
      <c r="V358" s="29"/>
    </row>
    <row r="359" spans="2:22" ht="13.5" customHeight="1">
      <c r="B359" s="213"/>
      <c r="C359" s="213"/>
      <c r="D359" s="178"/>
      <c r="E359" s="178"/>
      <c r="F359" s="219" t="s">
        <v>330</v>
      </c>
      <c r="G359" s="213" t="e">
        <f>365/G358</f>
        <v>#DIV/0!</v>
      </c>
      <c r="H359" s="213" t="e">
        <f>365/H358</f>
        <v>#DIV/0!</v>
      </c>
      <c r="I359" s="213" t="e">
        <f>G359-H359</f>
        <v>#DIV/0!</v>
      </c>
      <c r="J359" s="211"/>
      <c r="K359" s="212"/>
      <c r="L359" s="214"/>
      <c r="M359" s="205"/>
      <c r="N359" s="178"/>
      <c r="O359" s="178"/>
      <c r="P359" s="178"/>
      <c r="Q359" s="29"/>
      <c r="R359" s="29"/>
      <c r="S359" s="29"/>
      <c r="T359" s="29"/>
      <c r="U359" s="29"/>
      <c r="V359" s="29"/>
    </row>
    <row r="360" spans="2:22" ht="13.5" customHeight="1">
      <c r="B360" s="205"/>
      <c r="C360" s="205"/>
      <c r="D360" s="178"/>
      <c r="E360" s="178"/>
      <c r="F360" s="205" t="s">
        <v>137</v>
      </c>
      <c r="G360" s="205"/>
      <c r="H360" s="205"/>
      <c r="I360" s="205"/>
      <c r="J360" s="205"/>
      <c r="K360" s="205"/>
      <c r="L360" s="205"/>
      <c r="M360" s="205"/>
      <c r="N360" s="178"/>
      <c r="O360" s="178"/>
      <c r="P360" s="178"/>
      <c r="Q360" s="29"/>
      <c r="R360" s="29"/>
      <c r="S360" s="29"/>
      <c r="T360" s="29"/>
      <c r="U360" s="29"/>
      <c r="V360" s="29"/>
    </row>
    <row r="361" spans="2:22" ht="13.5" customHeight="1">
      <c r="B361" s="205"/>
      <c r="C361" s="205"/>
      <c r="D361" s="178"/>
      <c r="E361" s="178"/>
      <c r="F361" s="220"/>
      <c r="G361" s="205"/>
      <c r="H361" s="205"/>
      <c r="I361" s="205"/>
      <c r="J361" s="205"/>
      <c r="K361" s="205"/>
      <c r="L361" s="205"/>
      <c r="M361" s="205"/>
      <c r="N361" s="178"/>
      <c r="O361" s="178"/>
      <c r="P361" s="178"/>
      <c r="Q361" s="29"/>
      <c r="R361" s="29"/>
      <c r="S361" s="29"/>
      <c r="T361" s="29"/>
      <c r="U361" s="29"/>
      <c r="V361" s="29"/>
    </row>
    <row r="362" spans="2:22" ht="13.5" customHeight="1">
      <c r="B362" s="205"/>
      <c r="C362" s="205"/>
      <c r="D362" s="178"/>
      <c r="E362" s="178"/>
      <c r="F362" s="205"/>
      <c r="G362" s="205"/>
      <c r="H362" s="205"/>
      <c r="I362" s="205"/>
      <c r="J362" s="205"/>
      <c r="K362" s="205"/>
      <c r="L362" s="205"/>
      <c r="M362" s="205"/>
      <c r="N362" s="178"/>
      <c r="O362" s="178"/>
      <c r="P362" s="178"/>
      <c r="Q362" s="29"/>
      <c r="R362" s="29"/>
      <c r="S362" s="29"/>
      <c r="T362" s="29"/>
      <c r="U362" s="29"/>
      <c r="V362" s="29"/>
    </row>
    <row r="363" spans="2:22" ht="13.5" customHeight="1">
      <c r="B363" s="205"/>
      <c r="C363" s="205"/>
      <c r="D363" s="178"/>
      <c r="E363" s="178"/>
      <c r="F363" s="205" t="s">
        <v>331</v>
      </c>
      <c r="G363" s="205"/>
      <c r="H363" s="205"/>
      <c r="I363" s="205"/>
      <c r="J363" s="205"/>
      <c r="K363" s="205"/>
      <c r="L363" s="205"/>
      <c r="M363" s="205"/>
      <c r="N363" s="178"/>
      <c r="O363" s="178"/>
      <c r="P363" s="178"/>
      <c r="Q363" s="29"/>
      <c r="R363" s="29"/>
      <c r="S363" s="29"/>
      <c r="T363" s="29"/>
      <c r="U363" s="29"/>
      <c r="V363" s="29"/>
    </row>
    <row r="364" spans="2:22" ht="13.5" customHeight="1">
      <c r="B364" s="207"/>
      <c r="C364" s="207"/>
      <c r="D364" s="178"/>
      <c r="E364" s="178"/>
      <c r="F364" s="121" t="s">
        <v>276</v>
      </c>
      <c r="G364" s="192">
        <f>G353</f>
        <v>0</v>
      </c>
      <c r="H364" s="192">
        <f>H353</f>
        <v>0</v>
      </c>
      <c r="I364" s="207" t="s">
        <v>288</v>
      </c>
      <c r="J364" s="207" t="s">
        <v>289</v>
      </c>
      <c r="K364" s="209"/>
      <c r="L364" s="221"/>
      <c r="M364" s="205"/>
      <c r="N364" s="178"/>
      <c r="O364" s="178"/>
      <c r="P364" s="178"/>
      <c r="Q364" s="29"/>
      <c r="R364" s="29"/>
      <c r="S364" s="29"/>
      <c r="T364" s="29"/>
      <c r="U364" s="29"/>
      <c r="V364" s="29"/>
    </row>
    <row r="365" spans="2:22" ht="13.5" customHeight="1">
      <c r="B365" s="210"/>
      <c r="C365" s="210"/>
      <c r="D365" s="178"/>
      <c r="E365" s="178"/>
      <c r="F365" s="219" t="s">
        <v>332</v>
      </c>
      <c r="G365" s="120" t="e">
        <f>J133*12/CurMonths</f>
        <v>#DIV/0!</v>
      </c>
      <c r="H365" s="120" t="e">
        <f>K133*12/PriorMonths</f>
        <v>#DIV/0!</v>
      </c>
      <c r="I365" s="210" t="e">
        <f>G365-H365</f>
        <v>#DIV/0!</v>
      </c>
      <c r="J365" s="211" t="e">
        <f>I365/H365</f>
        <v>#DIV/0!</v>
      </c>
      <c r="K365" s="212"/>
      <c r="L365" s="95"/>
      <c r="M365" s="205"/>
      <c r="N365" s="178"/>
      <c r="O365" s="178"/>
      <c r="P365" s="178"/>
      <c r="Q365" s="29"/>
      <c r="R365" s="29"/>
      <c r="S365" s="29"/>
      <c r="T365" s="29"/>
      <c r="U365" s="29"/>
      <c r="V365" s="29"/>
    </row>
    <row r="366" spans="2:22" ht="13.5" customHeight="1">
      <c r="B366" s="210"/>
      <c r="C366" s="210"/>
      <c r="D366" s="178"/>
      <c r="E366" s="178"/>
      <c r="F366" s="219" t="s">
        <v>333</v>
      </c>
      <c r="G366" s="120">
        <f>H367</f>
        <v>0</v>
      </c>
      <c r="H366" s="283"/>
      <c r="I366" s="210">
        <f>G366-H366</f>
        <v>0</v>
      </c>
      <c r="J366" s="211" t="e">
        <f>I366/H366</f>
        <v>#DIV/0!</v>
      </c>
      <c r="K366" s="212"/>
      <c r="L366" s="95"/>
      <c r="M366" s="205"/>
      <c r="N366" s="178"/>
      <c r="O366" s="178"/>
      <c r="P366" s="178"/>
      <c r="Q366" s="29"/>
      <c r="R366" s="29"/>
      <c r="S366" s="29"/>
      <c r="T366" s="29"/>
      <c r="U366" s="29"/>
      <c r="V366" s="29"/>
    </row>
    <row r="367" spans="2:22" ht="13.5" customHeight="1">
      <c r="B367" s="210"/>
      <c r="C367" s="210"/>
      <c r="D367" s="178"/>
      <c r="E367" s="178"/>
      <c r="F367" s="219" t="s">
        <v>334</v>
      </c>
      <c r="G367" s="120">
        <f>G335+G336</f>
        <v>0</v>
      </c>
      <c r="H367" s="120">
        <f>H335+H336</f>
        <v>0</v>
      </c>
      <c r="I367" s="210">
        <f>G367-H367</f>
        <v>0</v>
      </c>
      <c r="J367" s="211" t="e">
        <f>I367/H367</f>
        <v>#DIV/0!</v>
      </c>
      <c r="K367" s="212"/>
      <c r="L367" s="95"/>
      <c r="M367" s="205"/>
      <c r="N367" s="178"/>
      <c r="O367" s="178"/>
      <c r="P367" s="178"/>
      <c r="Q367" s="29"/>
      <c r="R367" s="29"/>
      <c r="S367" s="29"/>
      <c r="T367" s="29"/>
      <c r="U367" s="29"/>
      <c r="V367" s="29"/>
    </row>
    <row r="368" spans="2:22" ht="13.5" customHeight="1">
      <c r="B368" s="210"/>
      <c r="C368" s="210"/>
      <c r="D368" s="178"/>
      <c r="E368" s="178"/>
      <c r="F368" s="219" t="s">
        <v>335</v>
      </c>
      <c r="G368" s="120">
        <f>SUM(G366:G367)/2</f>
        <v>0</v>
      </c>
      <c r="H368" s="120">
        <f>SUM(H366:H367)/2</f>
        <v>0</v>
      </c>
      <c r="I368" s="210">
        <f>G368-H368</f>
        <v>0</v>
      </c>
      <c r="J368" s="211" t="e">
        <f>I368/H368</f>
        <v>#DIV/0!</v>
      </c>
      <c r="K368" s="212"/>
      <c r="L368" s="95"/>
      <c r="M368" s="205"/>
      <c r="N368" s="178"/>
      <c r="O368" s="178"/>
      <c r="P368" s="178"/>
      <c r="Q368" s="29"/>
      <c r="R368" s="29"/>
      <c r="S368" s="29"/>
      <c r="T368" s="29"/>
      <c r="U368" s="29"/>
      <c r="V368" s="29"/>
    </row>
    <row r="369" spans="2:22" ht="13.5" customHeight="1">
      <c r="B369" s="213"/>
      <c r="C369" s="213"/>
      <c r="D369" s="178"/>
      <c r="E369" s="178"/>
      <c r="F369" s="219" t="s">
        <v>336</v>
      </c>
      <c r="G369" s="222" t="e">
        <f>G365/G368</f>
        <v>#DIV/0!</v>
      </c>
      <c r="H369" s="222" t="e">
        <f>H365/H368</f>
        <v>#DIV/0!</v>
      </c>
      <c r="I369" s="213" t="e">
        <f>G369-H369</f>
        <v>#DIV/0!</v>
      </c>
      <c r="J369" s="210"/>
      <c r="K369" s="205"/>
      <c r="L369" s="191"/>
      <c r="M369" s="205"/>
      <c r="N369" s="178"/>
      <c r="O369" s="178"/>
      <c r="P369" s="178"/>
      <c r="Q369" s="29"/>
      <c r="R369" s="29"/>
      <c r="S369" s="29"/>
      <c r="T369" s="29"/>
      <c r="U369" s="29"/>
      <c r="V369" s="29"/>
    </row>
    <row r="370" spans="2:22" ht="13.5" customHeight="1">
      <c r="B370" s="213"/>
      <c r="C370" s="213"/>
      <c r="D370" s="178"/>
      <c r="E370" s="178"/>
      <c r="F370" s="219" t="s">
        <v>337</v>
      </c>
      <c r="G370" s="222" t="e">
        <f>365/G369</f>
        <v>#DIV/0!</v>
      </c>
      <c r="H370" s="222" t="e">
        <f>365/H369</f>
        <v>#DIV/0!</v>
      </c>
      <c r="I370" s="213" t="e">
        <f>G370-H370</f>
        <v>#DIV/0!</v>
      </c>
      <c r="J370" s="210"/>
      <c r="K370" s="205"/>
      <c r="L370" s="191"/>
      <c r="M370" s="205"/>
      <c r="N370" s="178"/>
      <c r="O370" s="178"/>
      <c r="P370" s="178"/>
      <c r="Q370" s="29"/>
      <c r="R370" s="29"/>
      <c r="S370" s="29"/>
      <c r="T370" s="29"/>
      <c r="U370" s="29"/>
      <c r="V370" s="29"/>
    </row>
    <row r="371" spans="2:22" ht="13.5" customHeight="1">
      <c r="B371" s="205"/>
      <c r="C371" s="205"/>
      <c r="D371" s="178"/>
      <c r="E371" s="178"/>
      <c r="F371" s="205" t="s">
        <v>137</v>
      </c>
      <c r="G371" s="205"/>
      <c r="H371" s="205"/>
      <c r="I371" s="205"/>
      <c r="J371" s="205"/>
      <c r="K371" s="205"/>
      <c r="L371" s="205"/>
      <c r="M371" s="205"/>
      <c r="N371" s="178"/>
      <c r="O371" s="178"/>
      <c r="P371" s="178"/>
      <c r="Q371" s="29"/>
      <c r="R371" s="29"/>
      <c r="S371" s="29"/>
      <c r="T371" s="29"/>
      <c r="U371" s="29"/>
      <c r="V371" s="29"/>
    </row>
    <row r="372" spans="2:22" ht="13.5" customHeight="1">
      <c r="B372" s="205"/>
      <c r="C372" s="205"/>
      <c r="D372" s="178"/>
      <c r="E372" s="178"/>
      <c r="F372" s="217"/>
      <c r="G372" s="205"/>
      <c r="H372" s="205"/>
      <c r="I372" s="205"/>
      <c r="J372" s="205"/>
      <c r="K372" s="205"/>
      <c r="L372" s="205"/>
      <c r="M372" s="205"/>
      <c r="N372" s="178"/>
      <c r="O372" s="178"/>
      <c r="P372" s="178"/>
      <c r="Q372" s="29"/>
      <c r="R372" s="29"/>
      <c r="S372" s="29"/>
      <c r="T372" s="29"/>
      <c r="U372" s="29"/>
      <c r="V372" s="29"/>
    </row>
    <row r="373" spans="2:22" ht="13.5" customHeight="1">
      <c r="B373" s="205"/>
      <c r="C373" s="205"/>
      <c r="D373" s="178"/>
      <c r="E373" s="178"/>
      <c r="F373" s="217"/>
      <c r="G373" s="205"/>
      <c r="H373" s="205"/>
      <c r="I373" s="205"/>
      <c r="J373" s="205"/>
      <c r="K373" s="205"/>
      <c r="L373" s="205"/>
      <c r="M373" s="205"/>
      <c r="N373" s="178"/>
      <c r="O373" s="178"/>
      <c r="P373" s="178"/>
      <c r="Q373" s="29"/>
      <c r="R373" s="29"/>
      <c r="S373" s="29"/>
      <c r="T373" s="29"/>
      <c r="U373" s="29"/>
      <c r="V373" s="29"/>
    </row>
    <row r="374" spans="2:22" ht="13.5" customHeight="1">
      <c r="B374" s="205"/>
      <c r="C374" s="205"/>
      <c r="D374" s="178"/>
      <c r="E374" s="178"/>
      <c r="F374" s="205" t="s">
        <v>338</v>
      </c>
      <c r="G374" s="205"/>
      <c r="H374" s="205"/>
      <c r="I374" s="205"/>
      <c r="J374" s="205"/>
      <c r="K374" s="205"/>
      <c r="L374" s="205"/>
      <c r="M374" s="205"/>
      <c r="N374" s="178"/>
      <c r="O374" s="178"/>
      <c r="P374" s="178"/>
      <c r="Q374" s="29"/>
      <c r="R374" s="29"/>
      <c r="S374" s="29"/>
      <c r="T374" s="29"/>
      <c r="U374" s="29"/>
      <c r="V374" s="29"/>
    </row>
    <row r="375" spans="2:22" ht="13.5" customHeight="1">
      <c r="B375" s="207"/>
      <c r="C375" s="207"/>
      <c r="D375" s="178"/>
      <c r="E375" s="178"/>
      <c r="F375" s="121" t="s">
        <v>276</v>
      </c>
      <c r="G375" s="192">
        <f>G364</f>
        <v>0</v>
      </c>
      <c r="H375" s="192">
        <f>H364</f>
        <v>0</v>
      </c>
      <c r="I375" s="207" t="s">
        <v>288</v>
      </c>
      <c r="J375" s="207" t="s">
        <v>289</v>
      </c>
      <c r="K375" s="205"/>
      <c r="L375" s="205"/>
      <c r="M375" s="205"/>
      <c r="N375" s="178"/>
      <c r="O375" s="178"/>
      <c r="P375" s="178"/>
      <c r="Q375" s="29"/>
      <c r="R375" s="29"/>
      <c r="S375" s="29"/>
      <c r="T375" s="29"/>
      <c r="U375" s="29"/>
      <c r="V375" s="29"/>
    </row>
    <row r="376" spans="2:22" ht="13.5" customHeight="1">
      <c r="B376" s="210"/>
      <c r="C376" s="210"/>
      <c r="D376" s="178"/>
      <c r="E376" s="178"/>
      <c r="F376" s="219" t="s">
        <v>339</v>
      </c>
      <c r="G376" s="120" t="e">
        <f>J124*12/CurMonths</f>
        <v>#DIV/0!</v>
      </c>
      <c r="H376" s="120" t="e">
        <f>K124*12/PriorMonths</f>
        <v>#DIV/0!</v>
      </c>
      <c r="I376" s="210" t="e">
        <f>G376-H376</f>
        <v>#DIV/0!</v>
      </c>
      <c r="J376" s="211" t="e">
        <f>I376/H376</f>
        <v>#DIV/0!</v>
      </c>
      <c r="K376" s="205"/>
      <c r="L376" s="205"/>
      <c r="M376" s="205"/>
      <c r="N376" s="178"/>
      <c r="O376" s="178"/>
      <c r="P376" s="178"/>
      <c r="Q376" s="29"/>
      <c r="R376" s="29"/>
      <c r="S376" s="29"/>
      <c r="T376" s="29"/>
      <c r="U376" s="29"/>
      <c r="V376" s="29"/>
    </row>
    <row r="377" spans="2:22" ht="13.5" customHeight="1">
      <c r="B377" s="210"/>
      <c r="C377" s="210"/>
      <c r="D377" s="178"/>
      <c r="E377" s="178"/>
      <c r="F377" s="219" t="s">
        <v>340</v>
      </c>
      <c r="G377" s="120">
        <f>H378</f>
        <v>0</v>
      </c>
      <c r="H377" s="283"/>
      <c r="I377" s="210">
        <f>G377-H377</f>
        <v>0</v>
      </c>
      <c r="J377" s="211" t="e">
        <f>I377/H377</f>
        <v>#DIV/0!</v>
      </c>
      <c r="K377" s="205"/>
      <c r="L377" s="205"/>
      <c r="M377" s="205"/>
      <c r="N377" s="178"/>
      <c r="O377" s="178"/>
      <c r="P377" s="178"/>
      <c r="Q377" s="29"/>
      <c r="R377" s="29"/>
      <c r="S377" s="29"/>
      <c r="T377" s="29"/>
      <c r="U377" s="29"/>
      <c r="V377" s="29"/>
    </row>
    <row r="378" spans="2:22" ht="13.5" customHeight="1">
      <c r="B378" s="210"/>
      <c r="C378" s="210"/>
      <c r="D378" s="178"/>
      <c r="E378" s="178"/>
      <c r="F378" s="219" t="s">
        <v>341</v>
      </c>
      <c r="G378" s="120">
        <f>G337+G338</f>
        <v>0</v>
      </c>
      <c r="H378" s="120">
        <f>H337+H338</f>
        <v>0</v>
      </c>
      <c r="I378" s="210">
        <f>G378-H378</f>
        <v>0</v>
      </c>
      <c r="J378" s="211" t="e">
        <f>I378/H378</f>
        <v>#DIV/0!</v>
      </c>
      <c r="K378" s="205"/>
      <c r="L378" s="205"/>
      <c r="M378" s="205"/>
      <c r="N378" s="178"/>
      <c r="O378" s="178"/>
      <c r="P378" s="178"/>
      <c r="Q378" s="29"/>
      <c r="R378" s="29"/>
      <c r="S378" s="29"/>
      <c r="T378" s="29"/>
      <c r="U378" s="29"/>
      <c r="V378" s="29"/>
    </row>
    <row r="379" spans="2:22" ht="13.5" customHeight="1">
      <c r="B379" s="210"/>
      <c r="C379" s="210"/>
      <c r="D379" s="178"/>
      <c r="E379" s="178"/>
      <c r="F379" s="219" t="s">
        <v>342</v>
      </c>
      <c r="G379" s="120">
        <f>SUM(G377:G378)/2</f>
        <v>0</v>
      </c>
      <c r="H379" s="120">
        <f>SUM(H377:H378)/2</f>
        <v>0</v>
      </c>
      <c r="I379" s="210">
        <f>G379-H379</f>
        <v>0</v>
      </c>
      <c r="J379" s="211" t="e">
        <f>I379/H379</f>
        <v>#DIV/0!</v>
      </c>
      <c r="K379" s="205"/>
      <c r="L379" s="205"/>
      <c r="M379" s="205"/>
      <c r="N379" s="178"/>
      <c r="O379" s="178"/>
      <c r="P379" s="178"/>
      <c r="Q379" s="29"/>
      <c r="R379" s="29"/>
      <c r="S379" s="29"/>
      <c r="T379" s="29"/>
      <c r="U379" s="29"/>
      <c r="V379" s="29"/>
    </row>
    <row r="380" spans="2:22" ht="13.5" customHeight="1">
      <c r="B380" s="213"/>
      <c r="C380" s="213"/>
      <c r="D380" s="178"/>
      <c r="E380" s="178"/>
      <c r="F380" s="219" t="s">
        <v>336</v>
      </c>
      <c r="G380" s="222" t="e">
        <f>G376/G379</f>
        <v>#DIV/0!</v>
      </c>
      <c r="H380" s="222" t="e">
        <f>H376/H379</f>
        <v>#DIV/0!</v>
      </c>
      <c r="I380" s="213" t="e">
        <f>G380-H380</f>
        <v>#DIV/0!</v>
      </c>
      <c r="J380" s="210"/>
      <c r="K380" s="205"/>
      <c r="L380" s="205"/>
      <c r="M380" s="205"/>
      <c r="N380" s="178"/>
      <c r="O380" s="178"/>
      <c r="P380" s="178"/>
      <c r="Q380" s="29"/>
      <c r="R380" s="29"/>
      <c r="S380" s="29"/>
      <c r="T380" s="29"/>
      <c r="U380" s="29"/>
      <c r="V380" s="29"/>
    </row>
    <row r="381" spans="2:22" ht="13.5" customHeight="1">
      <c r="B381" s="213"/>
      <c r="C381" s="213"/>
      <c r="D381" s="178"/>
      <c r="E381" s="178"/>
      <c r="F381" s="219" t="s">
        <v>337</v>
      </c>
      <c r="G381" s="222" t="e">
        <f>365/G380</f>
        <v>#DIV/0!</v>
      </c>
      <c r="H381" s="222" t="e">
        <f>365/H380</f>
        <v>#DIV/0!</v>
      </c>
      <c r="I381" s="213" t="e">
        <f>G381-H381</f>
        <v>#DIV/0!</v>
      </c>
      <c r="J381" s="210"/>
      <c r="K381" s="205"/>
      <c r="L381" s="205"/>
      <c r="M381" s="205"/>
      <c r="N381" s="178"/>
      <c r="O381" s="178"/>
      <c r="P381" s="178"/>
      <c r="Q381" s="29"/>
      <c r="R381" s="29"/>
      <c r="S381" s="29"/>
      <c r="T381" s="29"/>
      <c r="U381" s="29"/>
      <c r="V381" s="29"/>
    </row>
    <row r="382" spans="2:22" ht="13.5" customHeight="1">
      <c r="B382" s="205"/>
      <c r="C382" s="205"/>
      <c r="D382" s="178"/>
      <c r="E382" s="178"/>
      <c r="F382" s="205" t="s">
        <v>137</v>
      </c>
      <c r="G382" s="205"/>
      <c r="H382" s="205"/>
      <c r="I382" s="205"/>
      <c r="J382" s="205"/>
      <c r="K382" s="205"/>
      <c r="L382" s="205"/>
      <c r="M382" s="205"/>
      <c r="N382" s="178"/>
      <c r="O382" s="178"/>
      <c r="P382" s="178"/>
      <c r="Q382" s="29"/>
      <c r="R382" s="29"/>
      <c r="S382" s="29"/>
      <c r="T382" s="29"/>
      <c r="U382" s="29"/>
      <c r="V382" s="29"/>
    </row>
    <row r="383" spans="2:22" ht="13.5" customHeight="1">
      <c r="B383" s="205"/>
      <c r="C383" s="205"/>
      <c r="D383" s="178"/>
      <c r="E383" s="178"/>
      <c r="F383" s="217"/>
      <c r="G383" s="205"/>
      <c r="H383" s="205"/>
      <c r="I383" s="205"/>
      <c r="J383" s="205"/>
      <c r="K383" s="205"/>
      <c r="L383" s="205"/>
      <c r="M383" s="205"/>
      <c r="N383" s="178"/>
      <c r="O383" s="178"/>
      <c r="P383" s="178"/>
      <c r="Q383" s="29"/>
      <c r="R383" s="29"/>
      <c r="S383" s="29"/>
      <c r="T383" s="29"/>
      <c r="U383" s="29"/>
      <c r="V383" s="29"/>
    </row>
    <row r="384" spans="2:22" ht="13.5" customHeight="1">
      <c r="B384" s="205"/>
      <c r="C384" s="205"/>
      <c r="D384" s="178"/>
      <c r="E384" s="178"/>
      <c r="F384" s="217"/>
      <c r="G384" s="205"/>
      <c r="H384" s="205"/>
      <c r="I384" s="205"/>
      <c r="J384" s="205"/>
      <c r="K384" s="205"/>
      <c r="L384" s="205"/>
      <c r="M384" s="205"/>
      <c r="N384" s="178"/>
      <c r="O384" s="178"/>
      <c r="P384" s="178"/>
      <c r="Q384" s="29"/>
      <c r="R384" s="29"/>
      <c r="S384" s="29"/>
      <c r="T384" s="29"/>
      <c r="U384" s="29"/>
      <c r="V384" s="29"/>
    </row>
    <row r="385" spans="2:22" ht="13.5" customHeight="1">
      <c r="B385" s="205"/>
      <c r="C385" s="205"/>
      <c r="D385" s="178"/>
      <c r="E385" s="178"/>
      <c r="F385" s="223"/>
      <c r="G385" s="205"/>
      <c r="H385" s="205"/>
      <c r="I385" s="205"/>
      <c r="J385" s="205"/>
      <c r="K385" s="205"/>
      <c r="L385" s="205"/>
      <c r="M385" s="205"/>
      <c r="N385" s="178"/>
      <c r="O385" s="178"/>
      <c r="P385" s="178"/>
      <c r="Q385" s="29"/>
      <c r="R385" s="29"/>
      <c r="S385" s="29"/>
      <c r="T385" s="29"/>
      <c r="U385" s="29"/>
      <c r="V385" s="29"/>
    </row>
    <row r="386" spans="2:22" ht="13.5" customHeight="1">
      <c r="B386" s="205"/>
      <c r="C386" s="205"/>
      <c r="D386" s="223" t="s">
        <v>343</v>
      </c>
      <c r="E386" s="178"/>
      <c r="F386" s="178"/>
      <c r="G386" s="205"/>
      <c r="H386" s="205"/>
      <c r="I386" s="205"/>
      <c r="J386" s="205"/>
      <c r="K386" s="205"/>
      <c r="L386" s="178"/>
      <c r="M386" s="178"/>
      <c r="N386" s="178"/>
      <c r="O386" s="178"/>
      <c r="P386" s="178"/>
      <c r="Q386" s="29"/>
      <c r="R386" s="29"/>
      <c r="S386" s="29"/>
      <c r="T386" s="29"/>
      <c r="U386" s="29"/>
      <c r="V386" s="29"/>
    </row>
    <row r="387" spans="2:22" ht="13.5" customHeight="1">
      <c r="B387" s="206"/>
      <c r="C387" s="206"/>
      <c r="D387" s="205"/>
      <c r="E387" s="178"/>
      <c r="F387" s="206" t="s">
        <v>276</v>
      </c>
      <c r="G387" s="192">
        <f>G364</f>
        <v>0</v>
      </c>
      <c r="H387" s="192">
        <f>H364</f>
        <v>0</v>
      </c>
      <c r="I387" s="206" t="s">
        <v>288</v>
      </c>
      <c r="J387" s="206" t="s">
        <v>289</v>
      </c>
      <c r="K387" s="208"/>
      <c r="L387" s="178"/>
      <c r="M387" s="178"/>
      <c r="N387" s="178"/>
      <c r="O387" s="178"/>
      <c r="P387" s="178"/>
      <c r="Q387" s="29"/>
      <c r="R387" s="29"/>
      <c r="S387" s="29"/>
      <c r="T387" s="29"/>
      <c r="U387" s="29"/>
      <c r="V387" s="29"/>
    </row>
    <row r="388" spans="2:22" ht="13.5" customHeight="1">
      <c r="B388" s="210"/>
      <c r="C388" s="210"/>
      <c r="D388" s="205"/>
      <c r="E388" s="178"/>
      <c r="F388" s="224" t="s">
        <v>325</v>
      </c>
      <c r="G388" s="210" t="e">
        <f>G354</f>
        <v>#DIV/0!</v>
      </c>
      <c r="H388" s="210" t="e">
        <f>H354</f>
        <v>#DIV/0!</v>
      </c>
      <c r="I388" s="210" t="e">
        <f>G388-H388</f>
        <v>#DIV/0!</v>
      </c>
      <c r="J388" s="211" t="e">
        <f>I388/H388</f>
        <v>#DIV/0!</v>
      </c>
      <c r="K388" s="212"/>
      <c r="L388" s="178"/>
      <c r="M388" s="178"/>
      <c r="N388" s="178"/>
      <c r="O388" s="178"/>
      <c r="P388" s="178"/>
      <c r="Q388" s="29"/>
      <c r="R388" s="29"/>
      <c r="S388" s="29"/>
      <c r="T388" s="29"/>
      <c r="U388" s="29"/>
      <c r="V388" s="29"/>
    </row>
    <row r="389" spans="2:22" ht="13.5" customHeight="1">
      <c r="B389" s="210"/>
      <c r="C389" s="210"/>
      <c r="D389" s="205"/>
      <c r="E389" s="178"/>
      <c r="F389" s="210" t="s">
        <v>344</v>
      </c>
      <c r="G389" s="210">
        <f>H390</f>
        <v>0</v>
      </c>
      <c r="H389" s="290"/>
      <c r="I389" s="210">
        <f>G389-H389</f>
        <v>0</v>
      </c>
      <c r="J389" s="211" t="e">
        <f>I389/H389</f>
        <v>#DIV/0!</v>
      </c>
      <c r="K389" s="212"/>
      <c r="L389" s="178"/>
      <c r="M389" s="178"/>
      <c r="N389" s="178"/>
      <c r="O389" s="178"/>
      <c r="P389" s="178"/>
      <c r="Q389" s="29"/>
      <c r="R389" s="29"/>
      <c r="S389" s="29"/>
      <c r="T389" s="29"/>
      <c r="U389" s="29"/>
      <c r="V389" s="29"/>
    </row>
    <row r="390" spans="2:22" ht="13.5" customHeight="1">
      <c r="B390" s="210"/>
      <c r="C390" s="210"/>
      <c r="D390" s="205"/>
      <c r="E390" s="178"/>
      <c r="F390" s="210" t="s">
        <v>345</v>
      </c>
      <c r="G390" s="210">
        <f>J78</f>
        <v>0</v>
      </c>
      <c r="H390" s="210">
        <f>K78</f>
        <v>0</v>
      </c>
      <c r="I390" s="210">
        <f>G390-H390</f>
        <v>0</v>
      </c>
      <c r="J390" s="211" t="e">
        <f>I390/H390</f>
        <v>#DIV/0!</v>
      </c>
      <c r="K390" s="212"/>
      <c r="L390" s="178"/>
      <c r="M390" s="178"/>
      <c r="N390" s="178"/>
      <c r="O390" s="178"/>
      <c r="P390" s="178"/>
      <c r="Q390" s="29"/>
      <c r="R390" s="29"/>
      <c r="S390" s="29"/>
      <c r="T390" s="29"/>
      <c r="U390" s="29"/>
      <c r="V390" s="29"/>
    </row>
    <row r="391" spans="2:22" ht="13.5" customHeight="1">
      <c r="B391" s="210"/>
      <c r="C391" s="210"/>
      <c r="D391" s="205"/>
      <c r="E391" s="178"/>
      <c r="F391" s="210" t="s">
        <v>346</v>
      </c>
      <c r="G391" s="210">
        <f>AVERAGE(G389:G390)</f>
        <v>0</v>
      </c>
      <c r="H391" s="210">
        <f>AVERAGE(H389:H390)</f>
        <v>0</v>
      </c>
      <c r="I391" s="210">
        <f>G391-H391</f>
        <v>0</v>
      </c>
      <c r="J391" s="211" t="e">
        <f>I391/H391</f>
        <v>#DIV/0!</v>
      </c>
      <c r="K391" s="212"/>
      <c r="L391" s="178"/>
      <c r="M391" s="178"/>
      <c r="N391" s="178"/>
      <c r="O391" s="178"/>
      <c r="P391" s="178"/>
      <c r="Q391" s="29"/>
      <c r="R391" s="29"/>
      <c r="S391" s="29"/>
      <c r="T391" s="29"/>
      <c r="U391" s="29"/>
      <c r="V391" s="29"/>
    </row>
    <row r="392" spans="2:22" ht="13.5" customHeight="1">
      <c r="B392" s="213"/>
      <c r="C392" s="213"/>
      <c r="D392" s="205"/>
      <c r="E392" s="178"/>
      <c r="F392" s="210" t="s">
        <v>138</v>
      </c>
      <c r="G392" s="213" t="e">
        <f>G388/G391</f>
        <v>#DIV/0!</v>
      </c>
      <c r="H392" s="213" t="e">
        <f>H388/H391</f>
        <v>#DIV/0!</v>
      </c>
      <c r="I392" s="213" t="e">
        <f>G392-H392</f>
        <v>#DIV/0!</v>
      </c>
      <c r="J392" s="210"/>
      <c r="K392" s="205"/>
      <c r="L392" s="178"/>
      <c r="M392" s="178"/>
      <c r="N392" s="178"/>
      <c r="O392" s="178"/>
      <c r="P392" s="178"/>
      <c r="Q392" s="29"/>
      <c r="R392" s="29"/>
      <c r="S392" s="29"/>
      <c r="T392" s="29"/>
      <c r="U392" s="29"/>
      <c r="V392" s="29"/>
    </row>
    <row r="393" spans="2:22" ht="13.5" customHeight="1">
      <c r="B393" s="213"/>
      <c r="C393" s="213"/>
      <c r="D393" s="205"/>
      <c r="E393" s="178"/>
      <c r="F393" s="210" t="s">
        <v>347</v>
      </c>
      <c r="G393" s="213" t="e">
        <f>365/G392</f>
        <v>#DIV/0!</v>
      </c>
      <c r="H393" s="213" t="e">
        <f>365/H392</f>
        <v>#DIV/0!</v>
      </c>
      <c r="I393" s="213" t="e">
        <f>G393-H393</f>
        <v>#DIV/0!</v>
      </c>
      <c r="J393" s="210"/>
      <c r="K393" s="205"/>
      <c r="L393" s="178"/>
      <c r="M393" s="178"/>
      <c r="N393" s="178"/>
      <c r="O393" s="178"/>
      <c r="P393" s="178"/>
      <c r="Q393" s="29"/>
      <c r="R393" s="29"/>
      <c r="S393" s="29"/>
      <c r="T393" s="29"/>
      <c r="U393" s="29"/>
      <c r="V393" s="29"/>
    </row>
    <row r="394" spans="2:22" ht="13.5" customHeight="1">
      <c r="B394" s="205"/>
      <c r="C394" s="205"/>
      <c r="D394" s="178"/>
      <c r="E394" s="178"/>
      <c r="F394" s="205" t="s">
        <v>348</v>
      </c>
      <c r="G394" s="205"/>
      <c r="H394" s="205"/>
      <c r="I394" s="205"/>
      <c r="J394" s="205"/>
      <c r="K394" s="205"/>
      <c r="L394" s="178"/>
      <c r="M394" s="178"/>
      <c r="N394" s="178"/>
      <c r="O394" s="178"/>
      <c r="P394" s="178"/>
      <c r="Q394" s="29"/>
      <c r="R394" s="29"/>
      <c r="S394" s="29"/>
      <c r="T394" s="29"/>
      <c r="U394" s="29"/>
      <c r="V394" s="29"/>
    </row>
    <row r="395" spans="2:22" ht="13.5" customHeight="1">
      <c r="B395" s="178"/>
      <c r="C395" s="178"/>
      <c r="D395" s="178"/>
      <c r="E395" s="178"/>
      <c r="F395" s="205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29"/>
      <c r="R395" s="29"/>
      <c r="S395" s="29"/>
      <c r="T395" s="29"/>
      <c r="U395" s="29"/>
      <c r="V395" s="29"/>
    </row>
    <row r="396" spans="2:22" ht="13.5" customHeight="1"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29"/>
      <c r="R396" s="29"/>
      <c r="S396" s="29"/>
      <c r="T396" s="29"/>
      <c r="U396" s="29"/>
      <c r="V396" s="29"/>
    </row>
    <row r="397" spans="2:22" ht="13.5" customHeight="1"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29"/>
      <c r="R397" s="29"/>
      <c r="S397" s="29"/>
      <c r="T397" s="29"/>
      <c r="U397" s="29"/>
      <c r="V397" s="29"/>
    </row>
  </sheetData>
  <mergeCells count="4">
    <mergeCell ref="K250:L250"/>
    <mergeCell ref="T11:T12"/>
    <mergeCell ref="P11:R11"/>
    <mergeCell ref="L11:M11"/>
  </mergeCells>
  <phoneticPr fontId="7" type="noConversion"/>
  <conditionalFormatting sqref="H1:R3 T1:XFD11 D3:G5 A3:C9 L4:R4 H4:I5 K5:M8 P5:R8 D6:I6 H7:I8 D7:G12 H9:R10 B10:C10 A10:A12 K11:L11 N11:R11 K12:R12 U12:XFD12 W248:XFD397 A1:G2 A247:XFD247 A398:XFD1048576 A13:R114 A117:R203 A206:R246">
    <cfRule type="containsText" dxfId="476" priority="867" operator="containsText" text="TRUE">
      <formula>NOT(ISERROR(SEARCH("TRUE",A1)))</formula>
    </cfRule>
  </conditionalFormatting>
  <conditionalFormatting sqref="K6:L6">
    <cfRule type="containsBlanks" dxfId="475" priority="868">
      <formula>LEN(TRIM(K6))=0</formula>
    </cfRule>
  </conditionalFormatting>
  <conditionalFormatting sqref="K8:L8">
    <cfRule type="containsBlanks" dxfId="474" priority="869">
      <formula>LEN(TRIM(K8))=0</formula>
    </cfRule>
  </conditionalFormatting>
  <conditionalFormatting sqref="S1:S12">
    <cfRule type="containsText" dxfId="473" priority="654" operator="containsText" text="TRUE">
      <formula>NOT(ISERROR(SEARCH("TRUE",S1)))</formula>
    </cfRule>
  </conditionalFormatting>
  <conditionalFormatting sqref="U13:XFD13">
    <cfRule type="containsText" dxfId="472" priority="647" operator="containsText" text="TRUE">
      <formula>NOT(ISERROR(SEARCH("TRUE",U13)))</formula>
    </cfRule>
  </conditionalFormatting>
  <conditionalFormatting sqref="S13">
    <cfRule type="containsText" dxfId="471" priority="646" operator="containsText" text="TRUE">
      <formula>NOT(ISERROR(SEARCH("TRUE",S13)))</formula>
    </cfRule>
  </conditionalFormatting>
  <conditionalFormatting sqref="T14:XFD14">
    <cfRule type="containsText" dxfId="470" priority="645" operator="containsText" text="TRUE">
      <formula>NOT(ISERROR(SEARCH("TRUE",T14)))</formula>
    </cfRule>
  </conditionalFormatting>
  <conditionalFormatting sqref="S14">
    <cfRule type="containsText" dxfId="469" priority="644" operator="containsText" text="TRUE">
      <formula>NOT(ISERROR(SEARCH("TRUE",S14)))</formula>
    </cfRule>
  </conditionalFormatting>
  <conditionalFormatting sqref="T15:XFD15">
    <cfRule type="containsText" dxfId="468" priority="643" operator="containsText" text="TRUE">
      <formula>NOT(ISERROR(SEARCH("TRUE",T15)))</formula>
    </cfRule>
  </conditionalFormatting>
  <conditionalFormatting sqref="S15">
    <cfRule type="containsText" dxfId="467" priority="642" operator="containsText" text="TRUE">
      <formula>NOT(ISERROR(SEARCH("TRUE",S15)))</formula>
    </cfRule>
  </conditionalFormatting>
  <conditionalFormatting sqref="T16:XFD16">
    <cfRule type="containsText" dxfId="466" priority="640" operator="containsText" text="TRUE">
      <formula>NOT(ISERROR(SEARCH("TRUE",T16)))</formula>
    </cfRule>
  </conditionalFormatting>
  <conditionalFormatting sqref="S16">
    <cfRule type="containsText" dxfId="465" priority="639" operator="containsText" text="TRUE">
      <formula>NOT(ISERROR(SEARCH("TRUE",S16)))</formula>
    </cfRule>
  </conditionalFormatting>
  <conditionalFormatting sqref="T17:XFD17">
    <cfRule type="containsText" dxfId="464" priority="638" operator="containsText" text="TRUE">
      <formula>NOT(ISERROR(SEARCH("TRUE",T17)))</formula>
    </cfRule>
  </conditionalFormatting>
  <conditionalFormatting sqref="S17">
    <cfRule type="containsText" dxfId="463" priority="637" operator="containsText" text="TRUE">
      <formula>NOT(ISERROR(SEARCH("TRUE",S17)))</formula>
    </cfRule>
  </conditionalFormatting>
  <conditionalFormatting sqref="T18:XFD18">
    <cfRule type="containsText" dxfId="462" priority="636" operator="containsText" text="TRUE">
      <formula>NOT(ISERROR(SEARCH("TRUE",T18)))</formula>
    </cfRule>
  </conditionalFormatting>
  <conditionalFormatting sqref="S18">
    <cfRule type="containsText" dxfId="461" priority="635" operator="containsText" text="TRUE">
      <formula>NOT(ISERROR(SEARCH("TRUE",S18)))</formula>
    </cfRule>
  </conditionalFormatting>
  <conditionalFormatting sqref="T19:XFD19">
    <cfRule type="containsText" dxfId="460" priority="634" operator="containsText" text="TRUE">
      <formula>NOT(ISERROR(SEARCH("TRUE",T19)))</formula>
    </cfRule>
  </conditionalFormatting>
  <conditionalFormatting sqref="S19">
    <cfRule type="containsText" dxfId="459" priority="633" operator="containsText" text="TRUE">
      <formula>NOT(ISERROR(SEARCH("TRUE",S19)))</formula>
    </cfRule>
  </conditionalFormatting>
  <conditionalFormatting sqref="T20:XFD20">
    <cfRule type="containsText" dxfId="458" priority="632" operator="containsText" text="TRUE">
      <formula>NOT(ISERROR(SEARCH("TRUE",T20)))</formula>
    </cfRule>
  </conditionalFormatting>
  <conditionalFormatting sqref="S20">
    <cfRule type="containsText" dxfId="457" priority="631" operator="containsText" text="TRUE">
      <formula>NOT(ISERROR(SEARCH("TRUE",S20)))</formula>
    </cfRule>
  </conditionalFormatting>
  <conditionalFormatting sqref="T21:XFD21">
    <cfRule type="containsText" dxfId="456" priority="630" operator="containsText" text="TRUE">
      <formula>NOT(ISERROR(SEARCH("TRUE",T21)))</formula>
    </cfRule>
  </conditionalFormatting>
  <conditionalFormatting sqref="S21">
    <cfRule type="containsText" dxfId="455" priority="629" operator="containsText" text="TRUE">
      <formula>NOT(ISERROR(SEARCH("TRUE",S21)))</formula>
    </cfRule>
  </conditionalFormatting>
  <conditionalFormatting sqref="T22:XFD22">
    <cfRule type="containsText" dxfId="454" priority="628" operator="containsText" text="TRUE">
      <formula>NOT(ISERROR(SEARCH("TRUE",T22)))</formula>
    </cfRule>
  </conditionalFormatting>
  <conditionalFormatting sqref="S22">
    <cfRule type="containsText" dxfId="453" priority="627" operator="containsText" text="TRUE">
      <formula>NOT(ISERROR(SEARCH("TRUE",S22)))</formula>
    </cfRule>
  </conditionalFormatting>
  <conditionalFormatting sqref="T23:XFD23">
    <cfRule type="containsText" dxfId="452" priority="626" operator="containsText" text="TRUE">
      <formula>NOT(ISERROR(SEARCH("TRUE",T23)))</formula>
    </cfRule>
  </conditionalFormatting>
  <conditionalFormatting sqref="S23">
    <cfRule type="containsText" dxfId="451" priority="625" operator="containsText" text="TRUE">
      <formula>NOT(ISERROR(SEARCH("TRUE",S23)))</formula>
    </cfRule>
  </conditionalFormatting>
  <conditionalFormatting sqref="T24:XFD24">
    <cfRule type="containsText" dxfId="450" priority="624" operator="containsText" text="TRUE">
      <formula>NOT(ISERROR(SEARCH("TRUE",T24)))</formula>
    </cfRule>
  </conditionalFormatting>
  <conditionalFormatting sqref="S24">
    <cfRule type="containsText" dxfId="449" priority="623" operator="containsText" text="TRUE">
      <formula>NOT(ISERROR(SEARCH("TRUE",S24)))</formula>
    </cfRule>
  </conditionalFormatting>
  <conditionalFormatting sqref="T25:XFD25">
    <cfRule type="containsText" dxfId="448" priority="622" operator="containsText" text="TRUE">
      <formula>NOT(ISERROR(SEARCH("TRUE",T25)))</formula>
    </cfRule>
  </conditionalFormatting>
  <conditionalFormatting sqref="S25">
    <cfRule type="containsText" dxfId="447" priority="621" operator="containsText" text="TRUE">
      <formula>NOT(ISERROR(SEARCH("TRUE",S25)))</formula>
    </cfRule>
  </conditionalFormatting>
  <conditionalFormatting sqref="T26:XFD26">
    <cfRule type="containsText" dxfId="446" priority="620" operator="containsText" text="TRUE">
      <formula>NOT(ISERROR(SEARCH("TRUE",T26)))</formula>
    </cfRule>
  </conditionalFormatting>
  <conditionalFormatting sqref="S26">
    <cfRule type="containsText" dxfId="445" priority="619" operator="containsText" text="TRUE">
      <formula>NOT(ISERROR(SEARCH("TRUE",S26)))</formula>
    </cfRule>
  </conditionalFormatting>
  <conditionalFormatting sqref="T27:XFD27">
    <cfRule type="containsText" dxfId="444" priority="618" operator="containsText" text="TRUE">
      <formula>NOT(ISERROR(SEARCH("TRUE",T27)))</formula>
    </cfRule>
  </conditionalFormatting>
  <conditionalFormatting sqref="S27">
    <cfRule type="containsText" dxfId="443" priority="617" operator="containsText" text="TRUE">
      <formula>NOT(ISERROR(SEARCH("TRUE",S27)))</formula>
    </cfRule>
  </conditionalFormatting>
  <conditionalFormatting sqref="T28:XFD28">
    <cfRule type="containsText" dxfId="442" priority="616" operator="containsText" text="TRUE">
      <formula>NOT(ISERROR(SEARCH("TRUE",T28)))</formula>
    </cfRule>
  </conditionalFormatting>
  <conditionalFormatting sqref="S28">
    <cfRule type="containsText" dxfId="441" priority="615" operator="containsText" text="TRUE">
      <formula>NOT(ISERROR(SEARCH("TRUE",S28)))</formula>
    </cfRule>
  </conditionalFormatting>
  <conditionalFormatting sqref="T29:XFD29">
    <cfRule type="containsText" dxfId="440" priority="614" operator="containsText" text="TRUE">
      <formula>NOT(ISERROR(SEARCH("TRUE",T29)))</formula>
    </cfRule>
  </conditionalFormatting>
  <conditionalFormatting sqref="S29">
    <cfRule type="containsText" dxfId="439" priority="613" operator="containsText" text="TRUE">
      <formula>NOT(ISERROR(SEARCH("TRUE",S29)))</formula>
    </cfRule>
  </conditionalFormatting>
  <conditionalFormatting sqref="T30:XFD30">
    <cfRule type="containsText" dxfId="438" priority="612" operator="containsText" text="TRUE">
      <formula>NOT(ISERROR(SEARCH("TRUE",T30)))</formula>
    </cfRule>
  </conditionalFormatting>
  <conditionalFormatting sqref="S30">
    <cfRule type="containsText" dxfId="437" priority="611" operator="containsText" text="TRUE">
      <formula>NOT(ISERROR(SEARCH("TRUE",S30)))</formula>
    </cfRule>
  </conditionalFormatting>
  <conditionalFormatting sqref="T31:XFD31">
    <cfRule type="containsText" dxfId="436" priority="610" operator="containsText" text="TRUE">
      <formula>NOT(ISERROR(SEARCH("TRUE",T31)))</formula>
    </cfRule>
  </conditionalFormatting>
  <conditionalFormatting sqref="S31">
    <cfRule type="containsText" dxfId="435" priority="609" operator="containsText" text="TRUE">
      <formula>NOT(ISERROR(SEARCH("TRUE",S31)))</formula>
    </cfRule>
  </conditionalFormatting>
  <conditionalFormatting sqref="T32:XFD32">
    <cfRule type="containsText" dxfId="434" priority="607" operator="containsText" text="TRUE">
      <formula>NOT(ISERROR(SEARCH("TRUE",T32)))</formula>
    </cfRule>
  </conditionalFormatting>
  <conditionalFormatting sqref="S32">
    <cfRule type="containsText" dxfId="433" priority="606" operator="containsText" text="TRUE">
      <formula>NOT(ISERROR(SEARCH("TRUE",S32)))</formula>
    </cfRule>
  </conditionalFormatting>
  <conditionalFormatting sqref="T33:XFD33">
    <cfRule type="containsText" dxfId="432" priority="605" operator="containsText" text="TRUE">
      <formula>NOT(ISERROR(SEARCH("TRUE",T33)))</formula>
    </cfRule>
  </conditionalFormatting>
  <conditionalFormatting sqref="S33">
    <cfRule type="containsText" dxfId="431" priority="604" operator="containsText" text="TRUE">
      <formula>NOT(ISERROR(SEARCH("TRUE",S33)))</formula>
    </cfRule>
  </conditionalFormatting>
  <conditionalFormatting sqref="T34:XFD34">
    <cfRule type="containsText" dxfId="430" priority="603" operator="containsText" text="TRUE">
      <formula>NOT(ISERROR(SEARCH("TRUE",T34)))</formula>
    </cfRule>
  </conditionalFormatting>
  <conditionalFormatting sqref="S34">
    <cfRule type="containsText" dxfId="429" priority="602" operator="containsText" text="TRUE">
      <formula>NOT(ISERROR(SEARCH("TRUE",S34)))</formula>
    </cfRule>
  </conditionalFormatting>
  <conditionalFormatting sqref="T35:XFD35">
    <cfRule type="containsText" dxfId="428" priority="601" operator="containsText" text="TRUE">
      <formula>NOT(ISERROR(SEARCH("TRUE",T35)))</formula>
    </cfRule>
  </conditionalFormatting>
  <conditionalFormatting sqref="S35">
    <cfRule type="containsText" dxfId="427" priority="600" operator="containsText" text="TRUE">
      <formula>NOT(ISERROR(SEARCH("TRUE",S35)))</formula>
    </cfRule>
  </conditionalFormatting>
  <conditionalFormatting sqref="T36:XFD36">
    <cfRule type="containsText" dxfId="426" priority="599" operator="containsText" text="TRUE">
      <formula>NOT(ISERROR(SEARCH("TRUE",T36)))</formula>
    </cfRule>
  </conditionalFormatting>
  <conditionalFormatting sqref="S36">
    <cfRule type="containsText" dxfId="425" priority="598" operator="containsText" text="TRUE">
      <formula>NOT(ISERROR(SEARCH("TRUE",S36)))</formula>
    </cfRule>
  </conditionalFormatting>
  <conditionalFormatting sqref="T37:XFD37">
    <cfRule type="containsText" dxfId="424" priority="597" operator="containsText" text="TRUE">
      <formula>NOT(ISERROR(SEARCH("TRUE",T37)))</formula>
    </cfRule>
  </conditionalFormatting>
  <conditionalFormatting sqref="S37">
    <cfRule type="containsText" dxfId="423" priority="596" operator="containsText" text="TRUE">
      <formula>NOT(ISERROR(SEARCH("TRUE",S37)))</formula>
    </cfRule>
  </conditionalFormatting>
  <conditionalFormatting sqref="T38:XFD38">
    <cfRule type="containsText" dxfId="422" priority="595" operator="containsText" text="TRUE">
      <formula>NOT(ISERROR(SEARCH("TRUE",T38)))</formula>
    </cfRule>
  </conditionalFormatting>
  <conditionalFormatting sqref="S38">
    <cfRule type="containsText" dxfId="421" priority="594" operator="containsText" text="TRUE">
      <formula>NOT(ISERROR(SEARCH("TRUE",S38)))</formula>
    </cfRule>
  </conditionalFormatting>
  <conditionalFormatting sqref="T39:XFD39">
    <cfRule type="containsText" dxfId="420" priority="593" operator="containsText" text="TRUE">
      <formula>NOT(ISERROR(SEARCH("TRUE",T39)))</formula>
    </cfRule>
  </conditionalFormatting>
  <conditionalFormatting sqref="S39">
    <cfRule type="containsText" dxfId="419" priority="592" operator="containsText" text="TRUE">
      <formula>NOT(ISERROR(SEARCH("TRUE",S39)))</formula>
    </cfRule>
  </conditionalFormatting>
  <conditionalFormatting sqref="T40:XFD40">
    <cfRule type="containsText" dxfId="418" priority="591" operator="containsText" text="TRUE">
      <formula>NOT(ISERROR(SEARCH("TRUE",T40)))</formula>
    </cfRule>
  </conditionalFormatting>
  <conditionalFormatting sqref="S40">
    <cfRule type="containsText" dxfId="417" priority="590" operator="containsText" text="TRUE">
      <formula>NOT(ISERROR(SEARCH("TRUE",S40)))</formula>
    </cfRule>
  </conditionalFormatting>
  <conditionalFormatting sqref="S41">
    <cfRule type="containsText" dxfId="416" priority="588" operator="containsText" text="TRUE">
      <formula>NOT(ISERROR(SEARCH("TRUE",S41)))</formula>
    </cfRule>
  </conditionalFormatting>
  <conditionalFormatting sqref="T41:XFD41">
    <cfRule type="containsText" dxfId="415" priority="589" operator="containsText" text="TRUE">
      <formula>NOT(ISERROR(SEARCH("TRUE",T41)))</formula>
    </cfRule>
  </conditionalFormatting>
  <conditionalFormatting sqref="T42:XFD42">
    <cfRule type="containsText" dxfId="414" priority="586" operator="containsText" text="TRUE">
      <formula>NOT(ISERROR(SEARCH("TRUE",T42)))</formula>
    </cfRule>
  </conditionalFormatting>
  <conditionalFormatting sqref="S42">
    <cfRule type="containsText" dxfId="413" priority="585" operator="containsText" text="TRUE">
      <formula>NOT(ISERROR(SEARCH("TRUE",S42)))</formula>
    </cfRule>
  </conditionalFormatting>
  <conditionalFormatting sqref="T43:XFD43">
    <cfRule type="containsText" dxfId="412" priority="583" operator="containsText" text="TRUE">
      <formula>NOT(ISERROR(SEARCH("TRUE",T43)))</formula>
    </cfRule>
  </conditionalFormatting>
  <conditionalFormatting sqref="S43">
    <cfRule type="containsText" dxfId="411" priority="582" operator="containsText" text="TRUE">
      <formula>NOT(ISERROR(SEARCH("TRUE",S43)))</formula>
    </cfRule>
  </conditionalFormatting>
  <conditionalFormatting sqref="T44:XFD44">
    <cfRule type="containsText" dxfId="410" priority="581" operator="containsText" text="TRUE">
      <formula>NOT(ISERROR(SEARCH("TRUE",T44)))</formula>
    </cfRule>
  </conditionalFormatting>
  <conditionalFormatting sqref="S44">
    <cfRule type="containsText" dxfId="409" priority="580" operator="containsText" text="TRUE">
      <formula>NOT(ISERROR(SEARCH("TRUE",S44)))</formula>
    </cfRule>
  </conditionalFormatting>
  <conditionalFormatting sqref="T45:XFD45">
    <cfRule type="containsText" dxfId="408" priority="579" operator="containsText" text="TRUE">
      <formula>NOT(ISERROR(SEARCH("TRUE",T45)))</formula>
    </cfRule>
  </conditionalFormatting>
  <conditionalFormatting sqref="S45">
    <cfRule type="containsText" dxfId="407" priority="578" operator="containsText" text="TRUE">
      <formula>NOT(ISERROR(SEARCH("TRUE",S45)))</formula>
    </cfRule>
  </conditionalFormatting>
  <conditionalFormatting sqref="T46:XFD46">
    <cfRule type="containsText" dxfId="406" priority="577" operator="containsText" text="TRUE">
      <formula>NOT(ISERROR(SEARCH("TRUE",T46)))</formula>
    </cfRule>
  </conditionalFormatting>
  <conditionalFormatting sqref="S46">
    <cfRule type="containsText" dxfId="405" priority="576" operator="containsText" text="TRUE">
      <formula>NOT(ISERROR(SEARCH("TRUE",S46)))</formula>
    </cfRule>
  </conditionalFormatting>
  <conditionalFormatting sqref="T47:XFD47">
    <cfRule type="containsText" dxfId="404" priority="575" operator="containsText" text="TRUE">
      <formula>NOT(ISERROR(SEARCH("TRUE",T47)))</formula>
    </cfRule>
  </conditionalFormatting>
  <conditionalFormatting sqref="S47">
    <cfRule type="containsText" dxfId="403" priority="574" operator="containsText" text="TRUE">
      <formula>NOT(ISERROR(SEARCH("TRUE",S47)))</formula>
    </cfRule>
  </conditionalFormatting>
  <conditionalFormatting sqref="T48:XFD48">
    <cfRule type="containsText" dxfId="402" priority="573" operator="containsText" text="TRUE">
      <formula>NOT(ISERROR(SEARCH("TRUE",T48)))</formula>
    </cfRule>
  </conditionalFormatting>
  <conditionalFormatting sqref="S48">
    <cfRule type="containsText" dxfId="401" priority="572" operator="containsText" text="TRUE">
      <formula>NOT(ISERROR(SEARCH("TRUE",S48)))</formula>
    </cfRule>
  </conditionalFormatting>
  <conditionalFormatting sqref="T49:XFD49">
    <cfRule type="containsText" dxfId="400" priority="571" operator="containsText" text="TRUE">
      <formula>NOT(ISERROR(SEARCH("TRUE",T49)))</formula>
    </cfRule>
  </conditionalFormatting>
  <conditionalFormatting sqref="S49">
    <cfRule type="containsText" dxfId="399" priority="570" operator="containsText" text="TRUE">
      <formula>NOT(ISERROR(SEARCH("TRUE",S49)))</formula>
    </cfRule>
  </conditionalFormatting>
  <conditionalFormatting sqref="T50:XFD50">
    <cfRule type="containsText" dxfId="398" priority="569" operator="containsText" text="TRUE">
      <formula>NOT(ISERROR(SEARCH("TRUE",T50)))</formula>
    </cfRule>
  </conditionalFormatting>
  <conditionalFormatting sqref="S50">
    <cfRule type="containsText" dxfId="397" priority="568" operator="containsText" text="TRUE">
      <formula>NOT(ISERROR(SEARCH("TRUE",S50)))</formula>
    </cfRule>
  </conditionalFormatting>
  <conditionalFormatting sqref="T51:XFD51">
    <cfRule type="containsText" dxfId="396" priority="566" operator="containsText" text="TRUE">
      <formula>NOT(ISERROR(SEARCH("TRUE",T51)))</formula>
    </cfRule>
  </conditionalFormatting>
  <conditionalFormatting sqref="S51">
    <cfRule type="containsText" dxfId="395" priority="565" operator="containsText" text="TRUE">
      <formula>NOT(ISERROR(SEARCH("TRUE",S51)))</formula>
    </cfRule>
  </conditionalFormatting>
  <conditionalFormatting sqref="T52:XFD52">
    <cfRule type="containsText" dxfId="394" priority="564" operator="containsText" text="TRUE">
      <formula>NOT(ISERROR(SEARCH("TRUE",T52)))</formula>
    </cfRule>
  </conditionalFormatting>
  <conditionalFormatting sqref="S52">
    <cfRule type="containsText" dxfId="393" priority="563" operator="containsText" text="TRUE">
      <formula>NOT(ISERROR(SEARCH("TRUE",S52)))</formula>
    </cfRule>
  </conditionalFormatting>
  <conditionalFormatting sqref="T53:XFD53">
    <cfRule type="containsText" dxfId="392" priority="562" operator="containsText" text="TRUE">
      <formula>NOT(ISERROR(SEARCH("TRUE",T53)))</formula>
    </cfRule>
  </conditionalFormatting>
  <conditionalFormatting sqref="S53">
    <cfRule type="containsText" dxfId="391" priority="561" operator="containsText" text="TRUE">
      <formula>NOT(ISERROR(SEARCH("TRUE",S53)))</formula>
    </cfRule>
  </conditionalFormatting>
  <conditionalFormatting sqref="T54:XFD54">
    <cfRule type="containsText" dxfId="390" priority="560" operator="containsText" text="TRUE">
      <formula>NOT(ISERROR(SEARCH("TRUE",T54)))</formula>
    </cfRule>
  </conditionalFormatting>
  <conditionalFormatting sqref="S54">
    <cfRule type="containsText" dxfId="389" priority="559" operator="containsText" text="TRUE">
      <formula>NOT(ISERROR(SEARCH("TRUE",S54)))</formula>
    </cfRule>
  </conditionalFormatting>
  <conditionalFormatting sqref="T55:XFD55">
    <cfRule type="containsText" dxfId="388" priority="558" operator="containsText" text="TRUE">
      <formula>NOT(ISERROR(SEARCH("TRUE",T55)))</formula>
    </cfRule>
  </conditionalFormatting>
  <conditionalFormatting sqref="S55">
    <cfRule type="containsText" dxfId="387" priority="557" operator="containsText" text="TRUE">
      <formula>NOT(ISERROR(SEARCH("TRUE",S55)))</formula>
    </cfRule>
  </conditionalFormatting>
  <conditionalFormatting sqref="T56:XFD56">
    <cfRule type="containsText" dxfId="386" priority="556" operator="containsText" text="TRUE">
      <formula>NOT(ISERROR(SEARCH("TRUE",T56)))</formula>
    </cfRule>
  </conditionalFormatting>
  <conditionalFormatting sqref="S56">
    <cfRule type="containsText" dxfId="385" priority="555" operator="containsText" text="TRUE">
      <formula>NOT(ISERROR(SEARCH("TRUE",S56)))</formula>
    </cfRule>
  </conditionalFormatting>
  <conditionalFormatting sqref="T57:XFD57">
    <cfRule type="containsText" dxfId="384" priority="554" operator="containsText" text="TRUE">
      <formula>NOT(ISERROR(SEARCH("TRUE",T57)))</formula>
    </cfRule>
  </conditionalFormatting>
  <conditionalFormatting sqref="S57">
    <cfRule type="containsText" dxfId="383" priority="553" operator="containsText" text="TRUE">
      <formula>NOT(ISERROR(SEARCH("TRUE",S57)))</formula>
    </cfRule>
  </conditionalFormatting>
  <conditionalFormatting sqref="T58:XFD58">
    <cfRule type="containsText" dxfId="382" priority="552" operator="containsText" text="TRUE">
      <formula>NOT(ISERROR(SEARCH("TRUE",T58)))</formula>
    </cfRule>
  </conditionalFormatting>
  <conditionalFormatting sqref="S58">
    <cfRule type="containsText" dxfId="381" priority="551" operator="containsText" text="TRUE">
      <formula>NOT(ISERROR(SEARCH("TRUE",S58)))</formula>
    </cfRule>
  </conditionalFormatting>
  <conditionalFormatting sqref="T59:XFD59">
    <cfRule type="containsText" dxfId="380" priority="550" operator="containsText" text="TRUE">
      <formula>NOT(ISERROR(SEARCH("TRUE",T59)))</formula>
    </cfRule>
  </conditionalFormatting>
  <conditionalFormatting sqref="S59">
    <cfRule type="containsText" dxfId="379" priority="549" operator="containsText" text="TRUE">
      <formula>NOT(ISERROR(SEARCH("TRUE",S59)))</formula>
    </cfRule>
  </conditionalFormatting>
  <conditionalFormatting sqref="T60:XFD60">
    <cfRule type="containsText" dxfId="378" priority="548" operator="containsText" text="TRUE">
      <formula>NOT(ISERROR(SEARCH("TRUE",T60)))</formula>
    </cfRule>
  </conditionalFormatting>
  <conditionalFormatting sqref="S60">
    <cfRule type="containsText" dxfId="377" priority="547" operator="containsText" text="TRUE">
      <formula>NOT(ISERROR(SEARCH("TRUE",S60)))</formula>
    </cfRule>
  </conditionalFormatting>
  <conditionalFormatting sqref="T61:XFD61">
    <cfRule type="containsText" dxfId="376" priority="546" operator="containsText" text="TRUE">
      <formula>NOT(ISERROR(SEARCH("TRUE",T61)))</formula>
    </cfRule>
  </conditionalFormatting>
  <conditionalFormatting sqref="S61">
    <cfRule type="containsText" dxfId="375" priority="545" operator="containsText" text="TRUE">
      <formula>NOT(ISERROR(SEARCH("TRUE",S61)))</formula>
    </cfRule>
  </conditionalFormatting>
  <conditionalFormatting sqref="T62:XFD62">
    <cfRule type="containsText" dxfId="374" priority="544" operator="containsText" text="TRUE">
      <formula>NOT(ISERROR(SEARCH("TRUE",T62)))</formula>
    </cfRule>
  </conditionalFormatting>
  <conditionalFormatting sqref="S62">
    <cfRule type="containsText" dxfId="373" priority="543" operator="containsText" text="TRUE">
      <formula>NOT(ISERROR(SEARCH("TRUE",S62)))</formula>
    </cfRule>
  </conditionalFormatting>
  <conditionalFormatting sqref="T63:XFD63">
    <cfRule type="containsText" dxfId="372" priority="542" operator="containsText" text="TRUE">
      <formula>NOT(ISERROR(SEARCH("TRUE",T63)))</formula>
    </cfRule>
  </conditionalFormatting>
  <conditionalFormatting sqref="S63">
    <cfRule type="containsText" dxfId="371" priority="541" operator="containsText" text="TRUE">
      <formula>NOT(ISERROR(SEARCH("TRUE",S63)))</formula>
    </cfRule>
  </conditionalFormatting>
  <conditionalFormatting sqref="T64:XFD64">
    <cfRule type="containsText" dxfId="370" priority="540" operator="containsText" text="TRUE">
      <formula>NOT(ISERROR(SEARCH("TRUE",T64)))</formula>
    </cfRule>
  </conditionalFormatting>
  <conditionalFormatting sqref="S64">
    <cfRule type="containsText" dxfId="369" priority="539" operator="containsText" text="TRUE">
      <formula>NOT(ISERROR(SEARCH("TRUE",S64)))</formula>
    </cfRule>
  </conditionalFormatting>
  <conditionalFormatting sqref="T65:XFD65">
    <cfRule type="containsText" dxfId="368" priority="538" operator="containsText" text="TRUE">
      <formula>NOT(ISERROR(SEARCH("TRUE",T65)))</formula>
    </cfRule>
  </conditionalFormatting>
  <conditionalFormatting sqref="S65">
    <cfRule type="containsText" dxfId="367" priority="537" operator="containsText" text="TRUE">
      <formula>NOT(ISERROR(SEARCH("TRUE",S65)))</formula>
    </cfRule>
  </conditionalFormatting>
  <conditionalFormatting sqref="T66:XFD66">
    <cfRule type="containsText" dxfId="366" priority="536" operator="containsText" text="TRUE">
      <formula>NOT(ISERROR(SEARCH("TRUE",T66)))</formula>
    </cfRule>
  </conditionalFormatting>
  <conditionalFormatting sqref="S66">
    <cfRule type="containsText" dxfId="365" priority="535" operator="containsText" text="TRUE">
      <formula>NOT(ISERROR(SEARCH("TRUE",S66)))</formula>
    </cfRule>
  </conditionalFormatting>
  <conditionalFormatting sqref="T67:XFD67">
    <cfRule type="containsText" dxfId="364" priority="533" operator="containsText" text="TRUE">
      <formula>NOT(ISERROR(SEARCH("TRUE",T67)))</formula>
    </cfRule>
  </conditionalFormatting>
  <conditionalFormatting sqref="S67">
    <cfRule type="containsText" dxfId="363" priority="532" operator="containsText" text="TRUE">
      <formula>NOT(ISERROR(SEARCH("TRUE",S67)))</formula>
    </cfRule>
  </conditionalFormatting>
  <conditionalFormatting sqref="T68:XFD68">
    <cfRule type="containsText" dxfId="362" priority="531" operator="containsText" text="TRUE">
      <formula>NOT(ISERROR(SEARCH("TRUE",T68)))</formula>
    </cfRule>
  </conditionalFormatting>
  <conditionalFormatting sqref="S68">
    <cfRule type="containsText" dxfId="361" priority="530" operator="containsText" text="TRUE">
      <formula>NOT(ISERROR(SEARCH("TRUE",S68)))</formula>
    </cfRule>
  </conditionalFormatting>
  <conditionalFormatting sqref="T69:XFD69">
    <cfRule type="containsText" dxfId="360" priority="529" operator="containsText" text="TRUE">
      <formula>NOT(ISERROR(SEARCH("TRUE",T69)))</formula>
    </cfRule>
  </conditionalFormatting>
  <conditionalFormatting sqref="S69">
    <cfRule type="containsText" dxfId="359" priority="528" operator="containsText" text="TRUE">
      <formula>NOT(ISERROR(SEARCH("TRUE",S69)))</formula>
    </cfRule>
  </conditionalFormatting>
  <conditionalFormatting sqref="T70:XFD70">
    <cfRule type="containsText" dxfId="358" priority="527" operator="containsText" text="TRUE">
      <formula>NOT(ISERROR(SEARCH("TRUE",T70)))</formula>
    </cfRule>
  </conditionalFormatting>
  <conditionalFormatting sqref="S70">
    <cfRule type="containsText" dxfId="357" priority="526" operator="containsText" text="TRUE">
      <formula>NOT(ISERROR(SEARCH("TRUE",S70)))</formula>
    </cfRule>
  </conditionalFormatting>
  <conditionalFormatting sqref="T71:XFD71">
    <cfRule type="containsText" dxfId="356" priority="525" operator="containsText" text="TRUE">
      <formula>NOT(ISERROR(SEARCH("TRUE",T71)))</formula>
    </cfRule>
  </conditionalFormatting>
  <conditionalFormatting sqref="S71">
    <cfRule type="containsText" dxfId="355" priority="524" operator="containsText" text="TRUE">
      <formula>NOT(ISERROR(SEARCH("TRUE",S71)))</formula>
    </cfRule>
  </conditionalFormatting>
  <conditionalFormatting sqref="T72:XFD72">
    <cfRule type="containsText" dxfId="354" priority="522" operator="containsText" text="TRUE">
      <formula>NOT(ISERROR(SEARCH("TRUE",T72)))</formula>
    </cfRule>
  </conditionalFormatting>
  <conditionalFormatting sqref="S72">
    <cfRule type="containsText" dxfId="353" priority="521" operator="containsText" text="TRUE">
      <formula>NOT(ISERROR(SEARCH("TRUE",S72)))</formula>
    </cfRule>
  </conditionalFormatting>
  <conditionalFormatting sqref="T73:XFD73">
    <cfRule type="containsText" dxfId="352" priority="520" operator="containsText" text="TRUE">
      <formula>NOT(ISERROR(SEARCH("TRUE",T73)))</formula>
    </cfRule>
  </conditionalFormatting>
  <conditionalFormatting sqref="S73">
    <cfRule type="containsText" dxfId="351" priority="519" operator="containsText" text="TRUE">
      <formula>NOT(ISERROR(SEARCH("TRUE",S73)))</formula>
    </cfRule>
  </conditionalFormatting>
  <conditionalFormatting sqref="T74:XFD74">
    <cfRule type="containsText" dxfId="350" priority="518" operator="containsText" text="TRUE">
      <formula>NOT(ISERROR(SEARCH("TRUE",T74)))</formula>
    </cfRule>
  </conditionalFormatting>
  <conditionalFormatting sqref="S74">
    <cfRule type="containsText" dxfId="349" priority="517" operator="containsText" text="TRUE">
      <formula>NOT(ISERROR(SEARCH("TRUE",S74)))</formula>
    </cfRule>
  </conditionalFormatting>
  <conditionalFormatting sqref="T75:XFD75">
    <cfRule type="containsText" dxfId="348" priority="516" operator="containsText" text="TRUE">
      <formula>NOT(ISERROR(SEARCH("TRUE",T75)))</formula>
    </cfRule>
  </conditionalFormatting>
  <conditionalFormatting sqref="S75">
    <cfRule type="containsText" dxfId="347" priority="515" operator="containsText" text="TRUE">
      <formula>NOT(ISERROR(SEARCH("TRUE",S75)))</formula>
    </cfRule>
  </conditionalFormatting>
  <conditionalFormatting sqref="S76">
    <cfRule type="containsText" dxfId="346" priority="513" operator="containsText" text="TRUE">
      <formula>NOT(ISERROR(SEARCH("TRUE",S76)))</formula>
    </cfRule>
  </conditionalFormatting>
  <conditionalFormatting sqref="T76:XFD76">
    <cfRule type="containsText" dxfId="345" priority="514" operator="containsText" text="TRUE">
      <formula>NOT(ISERROR(SEARCH("TRUE",T76)))</formula>
    </cfRule>
  </conditionalFormatting>
  <conditionalFormatting sqref="S77">
    <cfRule type="containsText" dxfId="344" priority="510" operator="containsText" text="TRUE">
      <formula>NOT(ISERROR(SEARCH("TRUE",S77)))</formula>
    </cfRule>
  </conditionalFormatting>
  <conditionalFormatting sqref="T77:XFD77">
    <cfRule type="containsText" dxfId="343" priority="511" operator="containsText" text="TRUE">
      <formula>NOT(ISERROR(SEARCH("TRUE",T77)))</formula>
    </cfRule>
  </conditionalFormatting>
  <conditionalFormatting sqref="S78">
    <cfRule type="containsText" dxfId="342" priority="507" operator="containsText" text="TRUE">
      <formula>NOT(ISERROR(SEARCH("TRUE",S78)))</formula>
    </cfRule>
  </conditionalFormatting>
  <conditionalFormatting sqref="T78:XFD78">
    <cfRule type="containsText" dxfId="341" priority="508" operator="containsText" text="TRUE">
      <formula>NOT(ISERROR(SEARCH("TRUE",T78)))</formula>
    </cfRule>
  </conditionalFormatting>
  <conditionalFormatting sqref="S79">
    <cfRule type="containsText" dxfId="340" priority="504" operator="containsText" text="TRUE">
      <formula>NOT(ISERROR(SEARCH("TRUE",S79)))</formula>
    </cfRule>
  </conditionalFormatting>
  <conditionalFormatting sqref="T79:XFD79">
    <cfRule type="containsText" dxfId="339" priority="505" operator="containsText" text="TRUE">
      <formula>NOT(ISERROR(SEARCH("TRUE",T79)))</formula>
    </cfRule>
  </conditionalFormatting>
  <conditionalFormatting sqref="S80">
    <cfRule type="containsText" dxfId="338" priority="501" operator="containsText" text="TRUE">
      <formula>NOT(ISERROR(SEARCH("TRUE",S80)))</formula>
    </cfRule>
  </conditionalFormatting>
  <conditionalFormatting sqref="T80:XFD80">
    <cfRule type="containsText" dxfId="337" priority="502" operator="containsText" text="TRUE">
      <formula>NOT(ISERROR(SEARCH("TRUE",T80)))</formula>
    </cfRule>
  </conditionalFormatting>
  <conditionalFormatting sqref="S81">
    <cfRule type="containsText" dxfId="336" priority="498" operator="containsText" text="TRUE">
      <formula>NOT(ISERROR(SEARCH("TRUE",S81)))</formula>
    </cfRule>
  </conditionalFormatting>
  <conditionalFormatting sqref="T81:XFD81">
    <cfRule type="containsText" dxfId="335" priority="499" operator="containsText" text="TRUE">
      <formula>NOT(ISERROR(SEARCH("TRUE",T81)))</formula>
    </cfRule>
  </conditionalFormatting>
  <conditionalFormatting sqref="S82">
    <cfRule type="containsText" dxfId="334" priority="495" operator="containsText" text="TRUE">
      <formula>NOT(ISERROR(SEARCH("TRUE",S82)))</formula>
    </cfRule>
  </conditionalFormatting>
  <conditionalFormatting sqref="T82:XFD82">
    <cfRule type="containsText" dxfId="333" priority="496" operator="containsText" text="TRUE">
      <formula>NOT(ISERROR(SEARCH("TRUE",T82)))</formula>
    </cfRule>
  </conditionalFormatting>
  <conditionalFormatting sqref="S83">
    <cfRule type="containsText" dxfId="332" priority="492" operator="containsText" text="TRUE">
      <formula>NOT(ISERROR(SEARCH("TRUE",S83)))</formula>
    </cfRule>
  </conditionalFormatting>
  <conditionalFormatting sqref="T83:XFD83">
    <cfRule type="containsText" dxfId="331" priority="493" operator="containsText" text="TRUE">
      <formula>NOT(ISERROR(SEARCH("TRUE",T83)))</formula>
    </cfRule>
  </conditionalFormatting>
  <conditionalFormatting sqref="S84">
    <cfRule type="containsText" dxfId="330" priority="489" operator="containsText" text="TRUE">
      <formula>NOT(ISERROR(SEARCH("TRUE",S84)))</formula>
    </cfRule>
  </conditionalFormatting>
  <conditionalFormatting sqref="T84:XFD84">
    <cfRule type="containsText" dxfId="329" priority="490" operator="containsText" text="TRUE">
      <formula>NOT(ISERROR(SEARCH("TRUE",T84)))</formula>
    </cfRule>
  </conditionalFormatting>
  <conditionalFormatting sqref="S85">
    <cfRule type="containsText" dxfId="328" priority="486" operator="containsText" text="TRUE">
      <formula>NOT(ISERROR(SEARCH("TRUE",S85)))</formula>
    </cfRule>
  </conditionalFormatting>
  <conditionalFormatting sqref="T85:XFD85">
    <cfRule type="containsText" dxfId="327" priority="487" operator="containsText" text="TRUE">
      <formula>NOT(ISERROR(SEARCH("TRUE",T85)))</formula>
    </cfRule>
  </conditionalFormatting>
  <conditionalFormatting sqref="S86">
    <cfRule type="containsText" dxfId="326" priority="483" operator="containsText" text="TRUE">
      <formula>NOT(ISERROR(SEARCH("TRUE",S86)))</formula>
    </cfRule>
  </conditionalFormatting>
  <conditionalFormatting sqref="T86:XFD86">
    <cfRule type="containsText" dxfId="325" priority="484" operator="containsText" text="TRUE">
      <formula>NOT(ISERROR(SEARCH("TRUE",T86)))</formula>
    </cfRule>
  </conditionalFormatting>
  <conditionalFormatting sqref="S87">
    <cfRule type="containsText" dxfId="324" priority="480" operator="containsText" text="TRUE">
      <formula>NOT(ISERROR(SEARCH("TRUE",S87)))</formula>
    </cfRule>
  </conditionalFormatting>
  <conditionalFormatting sqref="T87:XFD87">
    <cfRule type="containsText" dxfId="323" priority="481" operator="containsText" text="TRUE">
      <formula>NOT(ISERROR(SEARCH("TRUE",T87)))</formula>
    </cfRule>
  </conditionalFormatting>
  <conditionalFormatting sqref="S88">
    <cfRule type="containsText" dxfId="322" priority="477" operator="containsText" text="TRUE">
      <formula>NOT(ISERROR(SEARCH("TRUE",S88)))</formula>
    </cfRule>
  </conditionalFormatting>
  <conditionalFormatting sqref="T88:XFD88">
    <cfRule type="containsText" dxfId="321" priority="478" operator="containsText" text="TRUE">
      <formula>NOT(ISERROR(SEARCH("TRUE",T88)))</formula>
    </cfRule>
  </conditionalFormatting>
  <conditionalFormatting sqref="S89">
    <cfRule type="containsText" dxfId="320" priority="474" operator="containsText" text="TRUE">
      <formula>NOT(ISERROR(SEARCH("TRUE",S89)))</formula>
    </cfRule>
  </conditionalFormatting>
  <conditionalFormatting sqref="T89:XFD89">
    <cfRule type="containsText" dxfId="319" priority="475" operator="containsText" text="TRUE">
      <formula>NOT(ISERROR(SEARCH("TRUE",T89)))</formula>
    </cfRule>
  </conditionalFormatting>
  <conditionalFormatting sqref="S90">
    <cfRule type="containsText" dxfId="318" priority="471" operator="containsText" text="TRUE">
      <formula>NOT(ISERROR(SEARCH("TRUE",S90)))</formula>
    </cfRule>
  </conditionalFormatting>
  <conditionalFormatting sqref="T90:XFD90">
    <cfRule type="containsText" dxfId="317" priority="472" operator="containsText" text="TRUE">
      <formula>NOT(ISERROR(SEARCH("TRUE",T90)))</formula>
    </cfRule>
  </conditionalFormatting>
  <conditionalFormatting sqref="S91">
    <cfRule type="containsText" dxfId="316" priority="468" operator="containsText" text="TRUE">
      <formula>NOT(ISERROR(SEARCH("TRUE",S91)))</formula>
    </cfRule>
  </conditionalFormatting>
  <conditionalFormatting sqref="T91:XFD91">
    <cfRule type="containsText" dxfId="315" priority="469" operator="containsText" text="TRUE">
      <formula>NOT(ISERROR(SEARCH("TRUE",T91)))</formula>
    </cfRule>
  </conditionalFormatting>
  <conditionalFormatting sqref="S92">
    <cfRule type="containsText" dxfId="314" priority="465" operator="containsText" text="TRUE">
      <formula>NOT(ISERROR(SEARCH("TRUE",S92)))</formula>
    </cfRule>
  </conditionalFormatting>
  <conditionalFormatting sqref="T92:XFD92">
    <cfRule type="containsText" dxfId="313" priority="466" operator="containsText" text="TRUE">
      <formula>NOT(ISERROR(SEARCH("TRUE",T92)))</formula>
    </cfRule>
  </conditionalFormatting>
  <conditionalFormatting sqref="S93">
    <cfRule type="containsText" dxfId="312" priority="462" operator="containsText" text="TRUE">
      <formula>NOT(ISERROR(SEARCH("TRUE",S93)))</formula>
    </cfRule>
  </conditionalFormatting>
  <conditionalFormatting sqref="T93:XFD93">
    <cfRule type="containsText" dxfId="311" priority="463" operator="containsText" text="TRUE">
      <formula>NOT(ISERROR(SEARCH("TRUE",T93)))</formula>
    </cfRule>
  </conditionalFormatting>
  <conditionalFormatting sqref="S94">
    <cfRule type="containsText" dxfId="310" priority="459" operator="containsText" text="TRUE">
      <formula>NOT(ISERROR(SEARCH("TRUE",S94)))</formula>
    </cfRule>
  </conditionalFormatting>
  <conditionalFormatting sqref="T94:XFD94">
    <cfRule type="containsText" dxfId="309" priority="460" operator="containsText" text="TRUE">
      <formula>NOT(ISERROR(SEARCH("TRUE",T94)))</formula>
    </cfRule>
  </conditionalFormatting>
  <conditionalFormatting sqref="S95">
    <cfRule type="containsText" dxfId="308" priority="456" operator="containsText" text="TRUE">
      <formula>NOT(ISERROR(SEARCH("TRUE",S95)))</formula>
    </cfRule>
  </conditionalFormatting>
  <conditionalFormatting sqref="T95:XFD95">
    <cfRule type="containsText" dxfId="307" priority="457" operator="containsText" text="TRUE">
      <formula>NOT(ISERROR(SEARCH("TRUE",T95)))</formula>
    </cfRule>
  </conditionalFormatting>
  <conditionalFormatting sqref="S96">
    <cfRule type="containsText" dxfId="306" priority="453" operator="containsText" text="TRUE">
      <formula>NOT(ISERROR(SEARCH("TRUE",S96)))</formula>
    </cfRule>
  </conditionalFormatting>
  <conditionalFormatting sqref="T96:XFD96">
    <cfRule type="containsText" dxfId="305" priority="454" operator="containsText" text="TRUE">
      <formula>NOT(ISERROR(SEARCH("TRUE",T96)))</formula>
    </cfRule>
  </conditionalFormatting>
  <conditionalFormatting sqref="S97">
    <cfRule type="containsText" dxfId="304" priority="450" operator="containsText" text="TRUE">
      <formula>NOT(ISERROR(SEARCH("TRUE",S97)))</formula>
    </cfRule>
  </conditionalFormatting>
  <conditionalFormatting sqref="T97:XFD97">
    <cfRule type="containsText" dxfId="303" priority="451" operator="containsText" text="TRUE">
      <formula>NOT(ISERROR(SEARCH("TRUE",T97)))</formula>
    </cfRule>
  </conditionalFormatting>
  <conditionalFormatting sqref="S98">
    <cfRule type="containsText" dxfId="302" priority="447" operator="containsText" text="TRUE">
      <formula>NOT(ISERROR(SEARCH("TRUE",S98)))</formula>
    </cfRule>
  </conditionalFormatting>
  <conditionalFormatting sqref="T98:XFD98">
    <cfRule type="containsText" dxfId="301" priority="448" operator="containsText" text="TRUE">
      <formula>NOT(ISERROR(SEARCH("TRUE",T98)))</formula>
    </cfRule>
  </conditionalFormatting>
  <conditionalFormatting sqref="S99">
    <cfRule type="containsText" dxfId="300" priority="444" operator="containsText" text="TRUE">
      <formula>NOT(ISERROR(SEARCH("TRUE",S99)))</formula>
    </cfRule>
  </conditionalFormatting>
  <conditionalFormatting sqref="T99:XFD99">
    <cfRule type="containsText" dxfId="299" priority="445" operator="containsText" text="TRUE">
      <formula>NOT(ISERROR(SEARCH("TRUE",T99)))</formula>
    </cfRule>
  </conditionalFormatting>
  <conditionalFormatting sqref="S100">
    <cfRule type="containsText" dxfId="298" priority="441" operator="containsText" text="TRUE">
      <formula>NOT(ISERROR(SEARCH("TRUE",S100)))</formula>
    </cfRule>
  </conditionalFormatting>
  <conditionalFormatting sqref="T100:XFD100">
    <cfRule type="containsText" dxfId="297" priority="442" operator="containsText" text="TRUE">
      <formula>NOT(ISERROR(SEARCH("TRUE",T100)))</formula>
    </cfRule>
  </conditionalFormatting>
  <conditionalFormatting sqref="S101">
    <cfRule type="containsText" dxfId="296" priority="438" operator="containsText" text="TRUE">
      <formula>NOT(ISERROR(SEARCH("TRUE",S101)))</formula>
    </cfRule>
  </conditionalFormatting>
  <conditionalFormatting sqref="T101:XFD101">
    <cfRule type="containsText" dxfId="295" priority="439" operator="containsText" text="TRUE">
      <formula>NOT(ISERROR(SEARCH("TRUE",T101)))</formula>
    </cfRule>
  </conditionalFormatting>
  <conditionalFormatting sqref="S102">
    <cfRule type="containsText" dxfId="294" priority="435" operator="containsText" text="TRUE">
      <formula>NOT(ISERROR(SEARCH("TRUE",S102)))</formula>
    </cfRule>
  </conditionalFormatting>
  <conditionalFormatting sqref="T102:XFD102">
    <cfRule type="containsText" dxfId="293" priority="436" operator="containsText" text="TRUE">
      <formula>NOT(ISERROR(SEARCH("TRUE",T102)))</formula>
    </cfRule>
  </conditionalFormatting>
  <conditionalFormatting sqref="S103">
    <cfRule type="containsText" dxfId="292" priority="432" operator="containsText" text="TRUE">
      <formula>NOT(ISERROR(SEARCH("TRUE",S103)))</formula>
    </cfRule>
  </conditionalFormatting>
  <conditionalFormatting sqref="T103:XFD103">
    <cfRule type="containsText" dxfId="291" priority="433" operator="containsText" text="TRUE">
      <formula>NOT(ISERROR(SEARCH("TRUE",T103)))</formula>
    </cfRule>
  </conditionalFormatting>
  <conditionalFormatting sqref="S104">
    <cfRule type="containsText" dxfId="290" priority="429" operator="containsText" text="TRUE">
      <formula>NOT(ISERROR(SEARCH("TRUE",S104)))</formula>
    </cfRule>
  </conditionalFormatting>
  <conditionalFormatting sqref="T104:XFD104">
    <cfRule type="containsText" dxfId="289" priority="430" operator="containsText" text="TRUE">
      <formula>NOT(ISERROR(SEARCH("TRUE",T104)))</formula>
    </cfRule>
  </conditionalFormatting>
  <conditionalFormatting sqref="S105">
    <cfRule type="containsText" dxfId="288" priority="426" operator="containsText" text="TRUE">
      <formula>NOT(ISERROR(SEARCH("TRUE",S105)))</formula>
    </cfRule>
  </conditionalFormatting>
  <conditionalFormatting sqref="T105:XFD105">
    <cfRule type="containsText" dxfId="287" priority="427" operator="containsText" text="TRUE">
      <formula>NOT(ISERROR(SEARCH("TRUE",T105)))</formula>
    </cfRule>
  </conditionalFormatting>
  <conditionalFormatting sqref="S106">
    <cfRule type="containsText" dxfId="286" priority="423" operator="containsText" text="TRUE">
      <formula>NOT(ISERROR(SEARCH("TRUE",S106)))</formula>
    </cfRule>
  </conditionalFormatting>
  <conditionalFormatting sqref="T106:XFD106">
    <cfRule type="containsText" dxfId="285" priority="424" operator="containsText" text="TRUE">
      <formula>NOT(ISERROR(SEARCH("TRUE",T106)))</formula>
    </cfRule>
  </conditionalFormatting>
  <conditionalFormatting sqref="S107">
    <cfRule type="containsText" dxfId="284" priority="420" operator="containsText" text="TRUE">
      <formula>NOT(ISERROR(SEARCH("TRUE",S107)))</formula>
    </cfRule>
  </conditionalFormatting>
  <conditionalFormatting sqref="T107:XFD107">
    <cfRule type="containsText" dxfId="283" priority="421" operator="containsText" text="TRUE">
      <formula>NOT(ISERROR(SEARCH("TRUE",T107)))</formula>
    </cfRule>
  </conditionalFormatting>
  <conditionalFormatting sqref="S108">
    <cfRule type="containsText" dxfId="282" priority="417" operator="containsText" text="TRUE">
      <formula>NOT(ISERROR(SEARCH("TRUE",S108)))</formula>
    </cfRule>
  </conditionalFormatting>
  <conditionalFormatting sqref="T108:XFD108">
    <cfRule type="containsText" dxfId="281" priority="418" operator="containsText" text="TRUE">
      <formula>NOT(ISERROR(SEARCH("TRUE",T108)))</formula>
    </cfRule>
  </conditionalFormatting>
  <conditionalFormatting sqref="S109">
    <cfRule type="containsText" dxfId="280" priority="414" operator="containsText" text="TRUE">
      <formula>NOT(ISERROR(SEARCH("TRUE",S109)))</formula>
    </cfRule>
  </conditionalFormatting>
  <conditionalFormatting sqref="T109:XFD109">
    <cfRule type="containsText" dxfId="279" priority="415" operator="containsText" text="TRUE">
      <formula>NOT(ISERROR(SEARCH("TRUE",T109)))</formula>
    </cfRule>
  </conditionalFormatting>
  <conditionalFormatting sqref="S110">
    <cfRule type="containsText" dxfId="278" priority="411" operator="containsText" text="TRUE">
      <formula>NOT(ISERROR(SEARCH("TRUE",S110)))</formula>
    </cfRule>
  </conditionalFormatting>
  <conditionalFormatting sqref="T110:XFD110">
    <cfRule type="containsText" dxfId="277" priority="412" operator="containsText" text="TRUE">
      <formula>NOT(ISERROR(SEARCH("TRUE",T110)))</formula>
    </cfRule>
  </conditionalFormatting>
  <conditionalFormatting sqref="S111">
    <cfRule type="containsText" dxfId="276" priority="408" operator="containsText" text="TRUE">
      <formula>NOT(ISERROR(SEARCH("TRUE",S111)))</formula>
    </cfRule>
  </conditionalFormatting>
  <conditionalFormatting sqref="T111:XFD111">
    <cfRule type="containsText" dxfId="275" priority="409" operator="containsText" text="TRUE">
      <formula>NOT(ISERROR(SEARCH("TRUE",T111)))</formula>
    </cfRule>
  </conditionalFormatting>
  <conditionalFormatting sqref="S112">
    <cfRule type="containsText" dxfId="274" priority="405" operator="containsText" text="TRUE">
      <formula>NOT(ISERROR(SEARCH("TRUE",S112)))</formula>
    </cfRule>
  </conditionalFormatting>
  <conditionalFormatting sqref="T112:XFD112">
    <cfRule type="containsText" dxfId="273" priority="406" operator="containsText" text="TRUE">
      <formula>NOT(ISERROR(SEARCH("TRUE",T112)))</formula>
    </cfRule>
  </conditionalFormatting>
  <conditionalFormatting sqref="S113">
    <cfRule type="containsText" dxfId="272" priority="401" operator="containsText" text="TRUE">
      <formula>NOT(ISERROR(SEARCH("TRUE",S113)))</formula>
    </cfRule>
  </conditionalFormatting>
  <conditionalFormatting sqref="T113:XFD113">
    <cfRule type="containsText" dxfId="271" priority="402" operator="containsText" text="TRUE">
      <formula>NOT(ISERROR(SEARCH("TRUE",T113)))</formula>
    </cfRule>
  </conditionalFormatting>
  <conditionalFormatting sqref="S114">
    <cfRule type="containsText" dxfId="270" priority="398" operator="containsText" text="TRUE">
      <formula>NOT(ISERROR(SEARCH("TRUE",S114)))</formula>
    </cfRule>
  </conditionalFormatting>
  <conditionalFormatting sqref="T114:XFD114">
    <cfRule type="containsText" dxfId="269" priority="399" operator="containsText" text="TRUE">
      <formula>NOT(ISERROR(SEARCH("TRUE",T114)))</formula>
    </cfRule>
  </conditionalFormatting>
  <conditionalFormatting sqref="D115:G115 A115 K115:R115">
    <cfRule type="containsText" dxfId="268" priority="397" operator="containsText" text="TRUE">
      <formula>NOT(ISERROR(SEARCH("TRUE",A115)))</formula>
    </cfRule>
  </conditionalFormatting>
  <conditionalFormatting sqref="S115">
    <cfRule type="containsText" dxfId="267" priority="395" operator="containsText" text="TRUE">
      <formula>NOT(ISERROR(SEARCH("TRUE",S115)))</formula>
    </cfRule>
  </conditionalFormatting>
  <conditionalFormatting sqref="T115:XFD115">
    <cfRule type="containsText" dxfId="266" priority="396" operator="containsText" text="TRUE">
      <formula>NOT(ISERROR(SEARCH("TRUE",T115)))</formula>
    </cfRule>
  </conditionalFormatting>
  <conditionalFormatting sqref="D116:G116 A116 K116:R116">
    <cfRule type="containsText" dxfId="265" priority="394" operator="containsText" text="TRUE">
      <formula>NOT(ISERROR(SEARCH("TRUE",A116)))</formula>
    </cfRule>
  </conditionalFormatting>
  <conditionalFormatting sqref="S116">
    <cfRule type="containsText" dxfId="264" priority="392" operator="containsText" text="TRUE">
      <formula>NOT(ISERROR(SEARCH("TRUE",S116)))</formula>
    </cfRule>
  </conditionalFormatting>
  <conditionalFormatting sqref="T116:XFD116">
    <cfRule type="containsText" dxfId="263" priority="393" operator="containsText" text="TRUE">
      <formula>NOT(ISERROR(SEARCH("TRUE",T116)))</formula>
    </cfRule>
  </conditionalFormatting>
  <conditionalFormatting sqref="S117">
    <cfRule type="containsText" dxfId="262" priority="389" operator="containsText" text="TRUE">
      <formula>NOT(ISERROR(SEARCH("TRUE",S117)))</formula>
    </cfRule>
  </conditionalFormatting>
  <conditionalFormatting sqref="T117:XFD117">
    <cfRule type="containsText" dxfId="261" priority="390" operator="containsText" text="TRUE">
      <formula>NOT(ISERROR(SEARCH("TRUE",T117)))</formula>
    </cfRule>
  </conditionalFormatting>
  <conditionalFormatting sqref="S118">
    <cfRule type="containsText" dxfId="260" priority="386" operator="containsText" text="TRUE">
      <formula>NOT(ISERROR(SEARCH("TRUE",S118)))</formula>
    </cfRule>
  </conditionalFormatting>
  <conditionalFormatting sqref="T118:XFD118">
    <cfRule type="containsText" dxfId="259" priority="387" operator="containsText" text="TRUE">
      <formula>NOT(ISERROR(SEARCH("TRUE",T118)))</formula>
    </cfRule>
  </conditionalFormatting>
  <conditionalFormatting sqref="S119">
    <cfRule type="containsText" dxfId="258" priority="383" operator="containsText" text="TRUE">
      <formula>NOT(ISERROR(SEARCH("TRUE",S119)))</formula>
    </cfRule>
  </conditionalFormatting>
  <conditionalFormatting sqref="T119:XFD119">
    <cfRule type="containsText" dxfId="257" priority="384" operator="containsText" text="TRUE">
      <formula>NOT(ISERROR(SEARCH("TRUE",T119)))</formula>
    </cfRule>
  </conditionalFormatting>
  <conditionalFormatting sqref="S120">
    <cfRule type="containsText" dxfId="256" priority="380" operator="containsText" text="TRUE">
      <formula>NOT(ISERROR(SEARCH("TRUE",S120)))</formula>
    </cfRule>
  </conditionalFormatting>
  <conditionalFormatting sqref="T120:XFD120">
    <cfRule type="containsText" dxfId="255" priority="381" operator="containsText" text="TRUE">
      <formula>NOT(ISERROR(SEARCH("TRUE",T120)))</formula>
    </cfRule>
  </conditionalFormatting>
  <conditionalFormatting sqref="S121">
    <cfRule type="containsText" dxfId="254" priority="377" operator="containsText" text="TRUE">
      <formula>NOT(ISERROR(SEARCH("TRUE",S121)))</formula>
    </cfRule>
  </conditionalFormatting>
  <conditionalFormatting sqref="T121:XFD121">
    <cfRule type="containsText" dxfId="253" priority="378" operator="containsText" text="TRUE">
      <formula>NOT(ISERROR(SEARCH("TRUE",T121)))</formula>
    </cfRule>
  </conditionalFormatting>
  <conditionalFormatting sqref="S122">
    <cfRule type="containsText" dxfId="252" priority="374" operator="containsText" text="TRUE">
      <formula>NOT(ISERROR(SEARCH("TRUE",S122)))</formula>
    </cfRule>
  </conditionalFormatting>
  <conditionalFormatting sqref="T122:XFD122">
    <cfRule type="containsText" dxfId="251" priority="375" operator="containsText" text="TRUE">
      <formula>NOT(ISERROR(SEARCH("TRUE",T122)))</formula>
    </cfRule>
  </conditionalFormatting>
  <conditionalFormatting sqref="S123">
    <cfRule type="containsText" dxfId="250" priority="371" operator="containsText" text="TRUE">
      <formula>NOT(ISERROR(SEARCH("TRUE",S123)))</formula>
    </cfRule>
  </conditionalFormatting>
  <conditionalFormatting sqref="T123:XFD123">
    <cfRule type="containsText" dxfId="249" priority="372" operator="containsText" text="TRUE">
      <formula>NOT(ISERROR(SEARCH("TRUE",T123)))</formula>
    </cfRule>
  </conditionalFormatting>
  <conditionalFormatting sqref="S124">
    <cfRule type="containsText" dxfId="248" priority="368" operator="containsText" text="TRUE">
      <formula>NOT(ISERROR(SEARCH("TRUE",S124)))</formula>
    </cfRule>
  </conditionalFormatting>
  <conditionalFormatting sqref="T124:XFD124">
    <cfRule type="containsText" dxfId="247" priority="369" operator="containsText" text="TRUE">
      <formula>NOT(ISERROR(SEARCH("TRUE",T124)))</formula>
    </cfRule>
  </conditionalFormatting>
  <conditionalFormatting sqref="S125">
    <cfRule type="containsText" dxfId="246" priority="365" operator="containsText" text="TRUE">
      <formula>NOT(ISERROR(SEARCH("TRUE",S125)))</formula>
    </cfRule>
  </conditionalFormatting>
  <conditionalFormatting sqref="T125:XFD125">
    <cfRule type="containsText" dxfId="245" priority="366" operator="containsText" text="TRUE">
      <formula>NOT(ISERROR(SEARCH("TRUE",T125)))</formula>
    </cfRule>
  </conditionalFormatting>
  <conditionalFormatting sqref="S126">
    <cfRule type="containsText" dxfId="244" priority="362" operator="containsText" text="TRUE">
      <formula>NOT(ISERROR(SEARCH("TRUE",S126)))</formula>
    </cfRule>
  </conditionalFormatting>
  <conditionalFormatting sqref="T126:XFD126">
    <cfRule type="containsText" dxfId="243" priority="363" operator="containsText" text="TRUE">
      <formula>NOT(ISERROR(SEARCH("TRUE",T126)))</formula>
    </cfRule>
  </conditionalFormatting>
  <conditionalFormatting sqref="S127">
    <cfRule type="containsText" dxfId="242" priority="359" operator="containsText" text="TRUE">
      <formula>NOT(ISERROR(SEARCH("TRUE",S127)))</formula>
    </cfRule>
  </conditionalFormatting>
  <conditionalFormatting sqref="T127:XFD127">
    <cfRule type="containsText" dxfId="241" priority="360" operator="containsText" text="TRUE">
      <formula>NOT(ISERROR(SEARCH("TRUE",T127)))</formula>
    </cfRule>
  </conditionalFormatting>
  <conditionalFormatting sqref="S128">
    <cfRule type="containsText" dxfId="240" priority="356" operator="containsText" text="TRUE">
      <formula>NOT(ISERROR(SEARCH("TRUE",S128)))</formula>
    </cfRule>
  </conditionalFormatting>
  <conditionalFormatting sqref="T128:XFD128">
    <cfRule type="containsText" dxfId="239" priority="357" operator="containsText" text="TRUE">
      <formula>NOT(ISERROR(SEARCH("TRUE",T128)))</formula>
    </cfRule>
  </conditionalFormatting>
  <conditionalFormatting sqref="S129">
    <cfRule type="containsText" dxfId="238" priority="353" operator="containsText" text="TRUE">
      <formula>NOT(ISERROR(SEARCH("TRUE",S129)))</formula>
    </cfRule>
  </conditionalFormatting>
  <conditionalFormatting sqref="T129:XFD129">
    <cfRule type="containsText" dxfId="237" priority="354" operator="containsText" text="TRUE">
      <formula>NOT(ISERROR(SEARCH("TRUE",T129)))</formula>
    </cfRule>
  </conditionalFormatting>
  <conditionalFormatting sqref="S130">
    <cfRule type="containsText" dxfId="236" priority="350" operator="containsText" text="TRUE">
      <formula>NOT(ISERROR(SEARCH("TRUE",S130)))</formula>
    </cfRule>
  </conditionalFormatting>
  <conditionalFormatting sqref="T130:XFD130">
    <cfRule type="containsText" dxfId="235" priority="351" operator="containsText" text="TRUE">
      <formula>NOT(ISERROR(SEARCH("TRUE",T130)))</formula>
    </cfRule>
  </conditionalFormatting>
  <conditionalFormatting sqref="S131">
    <cfRule type="containsText" dxfId="234" priority="347" operator="containsText" text="TRUE">
      <formula>NOT(ISERROR(SEARCH("TRUE",S131)))</formula>
    </cfRule>
  </conditionalFormatting>
  <conditionalFormatting sqref="T131:XFD131">
    <cfRule type="containsText" dxfId="233" priority="348" operator="containsText" text="TRUE">
      <formula>NOT(ISERROR(SEARCH("TRUE",T131)))</formula>
    </cfRule>
  </conditionalFormatting>
  <conditionalFormatting sqref="S132">
    <cfRule type="containsText" dxfId="232" priority="344" operator="containsText" text="TRUE">
      <formula>NOT(ISERROR(SEARCH("TRUE",S132)))</formula>
    </cfRule>
  </conditionalFormatting>
  <conditionalFormatting sqref="T132:XFD132">
    <cfRule type="containsText" dxfId="231" priority="345" operator="containsText" text="TRUE">
      <formula>NOT(ISERROR(SEARCH("TRUE",T132)))</formula>
    </cfRule>
  </conditionalFormatting>
  <conditionalFormatting sqref="S133">
    <cfRule type="containsText" dxfId="230" priority="341" operator="containsText" text="TRUE">
      <formula>NOT(ISERROR(SEARCH("TRUE",S133)))</formula>
    </cfRule>
  </conditionalFormatting>
  <conditionalFormatting sqref="T133:XFD133">
    <cfRule type="containsText" dxfId="229" priority="342" operator="containsText" text="TRUE">
      <formula>NOT(ISERROR(SEARCH("TRUE",T133)))</formula>
    </cfRule>
  </conditionalFormatting>
  <conditionalFormatting sqref="S134">
    <cfRule type="containsText" dxfId="228" priority="338" operator="containsText" text="TRUE">
      <formula>NOT(ISERROR(SEARCH("TRUE",S134)))</formula>
    </cfRule>
  </conditionalFormatting>
  <conditionalFormatting sqref="T134:XFD134">
    <cfRule type="containsText" dxfId="227" priority="339" operator="containsText" text="TRUE">
      <formula>NOT(ISERROR(SEARCH("TRUE",T134)))</formula>
    </cfRule>
  </conditionalFormatting>
  <conditionalFormatting sqref="S135">
    <cfRule type="containsText" dxfId="226" priority="335" operator="containsText" text="TRUE">
      <formula>NOT(ISERROR(SEARCH("TRUE",S135)))</formula>
    </cfRule>
  </conditionalFormatting>
  <conditionalFormatting sqref="T135:XFD135">
    <cfRule type="containsText" dxfId="225" priority="336" operator="containsText" text="TRUE">
      <formula>NOT(ISERROR(SEARCH("TRUE",T135)))</formula>
    </cfRule>
  </conditionalFormatting>
  <conditionalFormatting sqref="S136">
    <cfRule type="containsText" dxfId="224" priority="332" operator="containsText" text="TRUE">
      <formula>NOT(ISERROR(SEARCH("TRUE",S136)))</formula>
    </cfRule>
  </conditionalFormatting>
  <conditionalFormatting sqref="T136:XFD136">
    <cfRule type="containsText" dxfId="223" priority="333" operator="containsText" text="TRUE">
      <formula>NOT(ISERROR(SEARCH("TRUE",T136)))</formula>
    </cfRule>
  </conditionalFormatting>
  <conditionalFormatting sqref="S137">
    <cfRule type="containsText" dxfId="222" priority="329" operator="containsText" text="TRUE">
      <formula>NOT(ISERROR(SEARCH("TRUE",S137)))</formula>
    </cfRule>
  </conditionalFormatting>
  <conditionalFormatting sqref="T137:XFD137">
    <cfRule type="containsText" dxfId="221" priority="330" operator="containsText" text="TRUE">
      <formula>NOT(ISERROR(SEARCH("TRUE",T137)))</formula>
    </cfRule>
  </conditionalFormatting>
  <conditionalFormatting sqref="S138">
    <cfRule type="containsText" dxfId="220" priority="326" operator="containsText" text="TRUE">
      <formula>NOT(ISERROR(SEARCH("TRUE",S138)))</formula>
    </cfRule>
  </conditionalFormatting>
  <conditionalFormatting sqref="T138:XFD138">
    <cfRule type="containsText" dxfId="219" priority="327" operator="containsText" text="TRUE">
      <formula>NOT(ISERROR(SEARCH("TRUE",T138)))</formula>
    </cfRule>
  </conditionalFormatting>
  <conditionalFormatting sqref="S139">
    <cfRule type="containsText" dxfId="218" priority="323" operator="containsText" text="TRUE">
      <formula>NOT(ISERROR(SEARCH("TRUE",S139)))</formula>
    </cfRule>
  </conditionalFormatting>
  <conditionalFormatting sqref="T139:XFD139">
    <cfRule type="containsText" dxfId="217" priority="324" operator="containsText" text="TRUE">
      <formula>NOT(ISERROR(SEARCH("TRUE",T139)))</formula>
    </cfRule>
  </conditionalFormatting>
  <conditionalFormatting sqref="S140">
    <cfRule type="containsText" dxfId="216" priority="320" operator="containsText" text="TRUE">
      <formula>NOT(ISERROR(SEARCH("TRUE",S140)))</formula>
    </cfRule>
  </conditionalFormatting>
  <conditionalFormatting sqref="T140:XFD140">
    <cfRule type="containsText" dxfId="215" priority="321" operator="containsText" text="TRUE">
      <formula>NOT(ISERROR(SEARCH("TRUE",T140)))</formula>
    </cfRule>
  </conditionalFormatting>
  <conditionalFormatting sqref="S141">
    <cfRule type="containsText" dxfId="214" priority="317" operator="containsText" text="TRUE">
      <formula>NOT(ISERROR(SEARCH("TRUE",S141)))</formula>
    </cfRule>
  </conditionalFormatting>
  <conditionalFormatting sqref="T141:XFD141">
    <cfRule type="containsText" dxfId="213" priority="318" operator="containsText" text="TRUE">
      <formula>NOT(ISERROR(SEARCH("TRUE",T141)))</formula>
    </cfRule>
  </conditionalFormatting>
  <conditionalFormatting sqref="S142">
    <cfRule type="containsText" dxfId="212" priority="314" operator="containsText" text="TRUE">
      <formula>NOT(ISERROR(SEARCH("TRUE",S142)))</formula>
    </cfRule>
  </conditionalFormatting>
  <conditionalFormatting sqref="T142:XFD142">
    <cfRule type="containsText" dxfId="211" priority="315" operator="containsText" text="TRUE">
      <formula>NOT(ISERROR(SEARCH("TRUE",T142)))</formula>
    </cfRule>
  </conditionalFormatting>
  <conditionalFormatting sqref="S143">
    <cfRule type="containsText" dxfId="210" priority="311" operator="containsText" text="TRUE">
      <formula>NOT(ISERROR(SEARCH("TRUE",S143)))</formula>
    </cfRule>
  </conditionalFormatting>
  <conditionalFormatting sqref="T143:XFD143">
    <cfRule type="containsText" dxfId="209" priority="312" operator="containsText" text="TRUE">
      <formula>NOT(ISERROR(SEARCH("TRUE",T143)))</formula>
    </cfRule>
  </conditionalFormatting>
  <conditionalFormatting sqref="S144">
    <cfRule type="containsText" dxfId="208" priority="308" operator="containsText" text="TRUE">
      <formula>NOT(ISERROR(SEARCH("TRUE",S144)))</formula>
    </cfRule>
  </conditionalFormatting>
  <conditionalFormatting sqref="T144:XFD144">
    <cfRule type="containsText" dxfId="207" priority="309" operator="containsText" text="TRUE">
      <formula>NOT(ISERROR(SEARCH("TRUE",T144)))</formula>
    </cfRule>
  </conditionalFormatting>
  <conditionalFormatting sqref="S145">
    <cfRule type="containsText" dxfId="206" priority="305" operator="containsText" text="TRUE">
      <formula>NOT(ISERROR(SEARCH("TRUE",S145)))</formula>
    </cfRule>
  </conditionalFormatting>
  <conditionalFormatting sqref="T145:XFD145">
    <cfRule type="containsText" dxfId="205" priority="306" operator="containsText" text="TRUE">
      <formula>NOT(ISERROR(SEARCH("TRUE",T145)))</formula>
    </cfRule>
  </conditionalFormatting>
  <conditionalFormatting sqref="S146">
    <cfRule type="containsText" dxfId="204" priority="302" operator="containsText" text="TRUE">
      <formula>NOT(ISERROR(SEARCH("TRUE",S146)))</formula>
    </cfRule>
  </conditionalFormatting>
  <conditionalFormatting sqref="T146:XFD146">
    <cfRule type="containsText" dxfId="203" priority="303" operator="containsText" text="TRUE">
      <formula>NOT(ISERROR(SEARCH("TRUE",T146)))</formula>
    </cfRule>
  </conditionalFormatting>
  <conditionalFormatting sqref="S147">
    <cfRule type="containsText" dxfId="202" priority="299" operator="containsText" text="TRUE">
      <formula>NOT(ISERROR(SEARCH("TRUE",S147)))</formula>
    </cfRule>
  </conditionalFormatting>
  <conditionalFormatting sqref="T147:XFD147">
    <cfRule type="containsText" dxfId="201" priority="300" operator="containsText" text="TRUE">
      <formula>NOT(ISERROR(SEARCH("TRUE",T147)))</formula>
    </cfRule>
  </conditionalFormatting>
  <conditionalFormatting sqref="S148">
    <cfRule type="containsText" dxfId="200" priority="296" operator="containsText" text="TRUE">
      <formula>NOT(ISERROR(SEARCH("TRUE",S148)))</formula>
    </cfRule>
  </conditionalFormatting>
  <conditionalFormatting sqref="T148:XFD148">
    <cfRule type="containsText" dxfId="199" priority="297" operator="containsText" text="TRUE">
      <formula>NOT(ISERROR(SEARCH("TRUE",T148)))</formula>
    </cfRule>
  </conditionalFormatting>
  <conditionalFormatting sqref="S149">
    <cfRule type="containsText" dxfId="198" priority="293" operator="containsText" text="TRUE">
      <formula>NOT(ISERROR(SEARCH("TRUE",S149)))</formula>
    </cfRule>
  </conditionalFormatting>
  <conditionalFormatting sqref="T149:XFD149">
    <cfRule type="containsText" dxfId="197" priority="294" operator="containsText" text="TRUE">
      <formula>NOT(ISERROR(SEARCH("TRUE",T149)))</formula>
    </cfRule>
  </conditionalFormatting>
  <conditionalFormatting sqref="S150">
    <cfRule type="containsText" dxfId="196" priority="290" operator="containsText" text="TRUE">
      <formula>NOT(ISERROR(SEARCH("TRUE",S150)))</formula>
    </cfRule>
  </conditionalFormatting>
  <conditionalFormatting sqref="T150:XFD150">
    <cfRule type="containsText" dxfId="195" priority="291" operator="containsText" text="TRUE">
      <formula>NOT(ISERROR(SEARCH("TRUE",T150)))</formula>
    </cfRule>
  </conditionalFormatting>
  <conditionalFormatting sqref="S151">
    <cfRule type="containsText" dxfId="194" priority="287" operator="containsText" text="TRUE">
      <formula>NOT(ISERROR(SEARCH("TRUE",S151)))</formula>
    </cfRule>
  </conditionalFormatting>
  <conditionalFormatting sqref="T151:XFD151">
    <cfRule type="containsText" dxfId="193" priority="288" operator="containsText" text="TRUE">
      <formula>NOT(ISERROR(SEARCH("TRUE",T151)))</formula>
    </cfRule>
  </conditionalFormatting>
  <conditionalFormatting sqref="S152">
    <cfRule type="containsText" dxfId="192" priority="284" operator="containsText" text="TRUE">
      <formula>NOT(ISERROR(SEARCH("TRUE",S152)))</formula>
    </cfRule>
  </conditionalFormatting>
  <conditionalFormatting sqref="T152:XFD152">
    <cfRule type="containsText" dxfId="191" priority="285" operator="containsText" text="TRUE">
      <formula>NOT(ISERROR(SEARCH("TRUE",T152)))</formula>
    </cfRule>
  </conditionalFormatting>
  <conditionalFormatting sqref="S153">
    <cfRule type="containsText" dxfId="190" priority="281" operator="containsText" text="TRUE">
      <formula>NOT(ISERROR(SEARCH("TRUE",S153)))</formula>
    </cfRule>
  </conditionalFormatting>
  <conditionalFormatting sqref="T153:XFD153">
    <cfRule type="containsText" dxfId="189" priority="282" operator="containsText" text="TRUE">
      <formula>NOT(ISERROR(SEARCH("TRUE",T153)))</formula>
    </cfRule>
  </conditionalFormatting>
  <conditionalFormatting sqref="S154">
    <cfRule type="containsText" dxfId="188" priority="278" operator="containsText" text="TRUE">
      <formula>NOT(ISERROR(SEARCH("TRUE",S154)))</formula>
    </cfRule>
  </conditionalFormatting>
  <conditionalFormatting sqref="T154:XFD154">
    <cfRule type="containsText" dxfId="187" priority="279" operator="containsText" text="TRUE">
      <formula>NOT(ISERROR(SEARCH("TRUE",T154)))</formula>
    </cfRule>
  </conditionalFormatting>
  <conditionalFormatting sqref="S155">
    <cfRule type="containsText" dxfId="186" priority="275" operator="containsText" text="TRUE">
      <formula>NOT(ISERROR(SEARCH("TRUE",S155)))</formula>
    </cfRule>
  </conditionalFormatting>
  <conditionalFormatting sqref="T155:XFD155">
    <cfRule type="containsText" dxfId="185" priority="276" operator="containsText" text="TRUE">
      <formula>NOT(ISERROR(SEARCH("TRUE",T155)))</formula>
    </cfRule>
  </conditionalFormatting>
  <conditionalFormatting sqref="S156">
    <cfRule type="containsText" dxfId="184" priority="272" operator="containsText" text="TRUE">
      <formula>NOT(ISERROR(SEARCH("TRUE",S156)))</formula>
    </cfRule>
  </conditionalFormatting>
  <conditionalFormatting sqref="T156:XFD156">
    <cfRule type="containsText" dxfId="183" priority="273" operator="containsText" text="TRUE">
      <formula>NOT(ISERROR(SEARCH("TRUE",T156)))</formula>
    </cfRule>
  </conditionalFormatting>
  <conditionalFormatting sqref="S157">
    <cfRule type="containsText" dxfId="182" priority="269" operator="containsText" text="TRUE">
      <formula>NOT(ISERROR(SEARCH("TRUE",S157)))</formula>
    </cfRule>
  </conditionalFormatting>
  <conditionalFormatting sqref="T157:XFD157">
    <cfRule type="containsText" dxfId="181" priority="270" operator="containsText" text="TRUE">
      <formula>NOT(ISERROR(SEARCH("TRUE",T157)))</formula>
    </cfRule>
  </conditionalFormatting>
  <conditionalFormatting sqref="S158">
    <cfRule type="containsText" dxfId="180" priority="266" operator="containsText" text="TRUE">
      <formula>NOT(ISERROR(SEARCH("TRUE",S158)))</formula>
    </cfRule>
  </conditionalFormatting>
  <conditionalFormatting sqref="T158:XFD158">
    <cfRule type="containsText" dxfId="179" priority="267" operator="containsText" text="TRUE">
      <formula>NOT(ISERROR(SEARCH("TRUE",T158)))</formula>
    </cfRule>
  </conditionalFormatting>
  <conditionalFormatting sqref="S159">
    <cfRule type="containsText" dxfId="178" priority="263" operator="containsText" text="TRUE">
      <formula>NOT(ISERROR(SEARCH("TRUE",S159)))</formula>
    </cfRule>
  </conditionalFormatting>
  <conditionalFormatting sqref="T159:XFD159">
    <cfRule type="containsText" dxfId="177" priority="264" operator="containsText" text="TRUE">
      <formula>NOT(ISERROR(SEARCH("TRUE",T159)))</formula>
    </cfRule>
  </conditionalFormatting>
  <conditionalFormatting sqref="S160">
    <cfRule type="containsText" dxfId="176" priority="260" operator="containsText" text="TRUE">
      <formula>NOT(ISERROR(SEARCH("TRUE",S160)))</formula>
    </cfRule>
  </conditionalFormatting>
  <conditionalFormatting sqref="T160:XFD160">
    <cfRule type="containsText" dxfId="175" priority="261" operator="containsText" text="TRUE">
      <formula>NOT(ISERROR(SEARCH("TRUE",T160)))</formula>
    </cfRule>
  </conditionalFormatting>
  <conditionalFormatting sqref="S161">
    <cfRule type="containsText" dxfId="174" priority="257" operator="containsText" text="TRUE">
      <formula>NOT(ISERROR(SEARCH("TRUE",S161)))</formula>
    </cfRule>
  </conditionalFormatting>
  <conditionalFormatting sqref="T161:XFD161">
    <cfRule type="containsText" dxfId="173" priority="258" operator="containsText" text="TRUE">
      <formula>NOT(ISERROR(SEARCH("TRUE",T161)))</formula>
    </cfRule>
  </conditionalFormatting>
  <conditionalFormatting sqref="S162">
    <cfRule type="containsText" dxfId="172" priority="254" operator="containsText" text="TRUE">
      <formula>NOT(ISERROR(SEARCH("TRUE",S162)))</formula>
    </cfRule>
  </conditionalFormatting>
  <conditionalFormatting sqref="T162:XFD162">
    <cfRule type="containsText" dxfId="171" priority="255" operator="containsText" text="TRUE">
      <formula>NOT(ISERROR(SEARCH("TRUE",T162)))</formula>
    </cfRule>
  </conditionalFormatting>
  <conditionalFormatting sqref="S163">
    <cfRule type="containsText" dxfId="170" priority="251" operator="containsText" text="TRUE">
      <formula>NOT(ISERROR(SEARCH("TRUE",S163)))</formula>
    </cfRule>
  </conditionalFormatting>
  <conditionalFormatting sqref="T163:XFD163">
    <cfRule type="containsText" dxfId="169" priority="252" operator="containsText" text="TRUE">
      <formula>NOT(ISERROR(SEARCH("TRUE",T163)))</formula>
    </cfRule>
  </conditionalFormatting>
  <conditionalFormatting sqref="S164">
    <cfRule type="containsText" dxfId="168" priority="248" operator="containsText" text="TRUE">
      <formula>NOT(ISERROR(SEARCH("TRUE",S164)))</formula>
    </cfRule>
  </conditionalFormatting>
  <conditionalFormatting sqref="T164:XFD164">
    <cfRule type="containsText" dxfId="167" priority="249" operator="containsText" text="TRUE">
      <formula>NOT(ISERROR(SEARCH("TRUE",T164)))</formula>
    </cfRule>
  </conditionalFormatting>
  <conditionalFormatting sqref="S165">
    <cfRule type="containsText" dxfId="166" priority="245" operator="containsText" text="TRUE">
      <formula>NOT(ISERROR(SEARCH("TRUE",S165)))</formula>
    </cfRule>
  </conditionalFormatting>
  <conditionalFormatting sqref="T165:XFD165">
    <cfRule type="containsText" dxfId="165" priority="246" operator="containsText" text="TRUE">
      <formula>NOT(ISERROR(SEARCH("TRUE",T165)))</formula>
    </cfRule>
  </conditionalFormatting>
  <conditionalFormatting sqref="S166">
    <cfRule type="containsText" dxfId="164" priority="242" operator="containsText" text="TRUE">
      <formula>NOT(ISERROR(SEARCH("TRUE",S166)))</formula>
    </cfRule>
  </conditionalFormatting>
  <conditionalFormatting sqref="T166:XFD166">
    <cfRule type="containsText" dxfId="163" priority="243" operator="containsText" text="TRUE">
      <formula>NOT(ISERROR(SEARCH("TRUE",T166)))</formula>
    </cfRule>
  </conditionalFormatting>
  <conditionalFormatting sqref="S167">
    <cfRule type="containsText" dxfId="162" priority="239" operator="containsText" text="TRUE">
      <formula>NOT(ISERROR(SEARCH("TRUE",S167)))</formula>
    </cfRule>
  </conditionalFormatting>
  <conditionalFormatting sqref="T167:XFD167">
    <cfRule type="containsText" dxfId="161" priority="240" operator="containsText" text="TRUE">
      <formula>NOT(ISERROR(SEARCH("TRUE",T167)))</formula>
    </cfRule>
  </conditionalFormatting>
  <conditionalFormatting sqref="S168">
    <cfRule type="containsText" dxfId="160" priority="236" operator="containsText" text="TRUE">
      <formula>NOT(ISERROR(SEARCH("TRUE",S168)))</formula>
    </cfRule>
  </conditionalFormatting>
  <conditionalFormatting sqref="T168:XFD168">
    <cfRule type="containsText" dxfId="159" priority="237" operator="containsText" text="TRUE">
      <formula>NOT(ISERROR(SEARCH("TRUE",T168)))</formula>
    </cfRule>
  </conditionalFormatting>
  <conditionalFormatting sqref="S169">
    <cfRule type="containsText" dxfId="158" priority="233" operator="containsText" text="TRUE">
      <formula>NOT(ISERROR(SEARCH("TRUE",S169)))</formula>
    </cfRule>
  </conditionalFormatting>
  <conditionalFormatting sqref="T169:XFD169">
    <cfRule type="containsText" dxfId="157" priority="234" operator="containsText" text="TRUE">
      <formula>NOT(ISERROR(SEARCH("TRUE",T169)))</formula>
    </cfRule>
  </conditionalFormatting>
  <conditionalFormatting sqref="S170">
    <cfRule type="containsText" dxfId="156" priority="230" operator="containsText" text="TRUE">
      <formula>NOT(ISERROR(SEARCH("TRUE",S170)))</formula>
    </cfRule>
  </conditionalFormatting>
  <conditionalFormatting sqref="T170:XFD170">
    <cfRule type="containsText" dxfId="155" priority="231" operator="containsText" text="TRUE">
      <formula>NOT(ISERROR(SEARCH("TRUE",T170)))</formula>
    </cfRule>
  </conditionalFormatting>
  <conditionalFormatting sqref="S171">
    <cfRule type="containsText" dxfId="154" priority="227" operator="containsText" text="TRUE">
      <formula>NOT(ISERROR(SEARCH("TRUE",S171)))</formula>
    </cfRule>
  </conditionalFormatting>
  <conditionalFormatting sqref="T171:XFD171">
    <cfRule type="containsText" dxfId="153" priority="228" operator="containsText" text="TRUE">
      <formula>NOT(ISERROR(SEARCH("TRUE",T171)))</formula>
    </cfRule>
  </conditionalFormatting>
  <conditionalFormatting sqref="S172">
    <cfRule type="containsText" dxfId="152" priority="224" operator="containsText" text="TRUE">
      <formula>NOT(ISERROR(SEARCH("TRUE",S172)))</formula>
    </cfRule>
  </conditionalFormatting>
  <conditionalFormatting sqref="T172:XFD172">
    <cfRule type="containsText" dxfId="151" priority="225" operator="containsText" text="TRUE">
      <formula>NOT(ISERROR(SEARCH("TRUE",T172)))</formula>
    </cfRule>
  </conditionalFormatting>
  <conditionalFormatting sqref="S173">
    <cfRule type="containsText" dxfId="150" priority="221" operator="containsText" text="TRUE">
      <formula>NOT(ISERROR(SEARCH("TRUE",S173)))</formula>
    </cfRule>
  </conditionalFormatting>
  <conditionalFormatting sqref="T173:XFD173">
    <cfRule type="containsText" dxfId="149" priority="222" operator="containsText" text="TRUE">
      <formula>NOT(ISERROR(SEARCH("TRUE",T173)))</formula>
    </cfRule>
  </conditionalFormatting>
  <conditionalFormatting sqref="S174">
    <cfRule type="containsText" dxfId="148" priority="218" operator="containsText" text="TRUE">
      <formula>NOT(ISERROR(SEARCH("TRUE",S174)))</formula>
    </cfRule>
  </conditionalFormatting>
  <conditionalFormatting sqref="T174:XFD174">
    <cfRule type="containsText" dxfId="147" priority="219" operator="containsText" text="TRUE">
      <formula>NOT(ISERROR(SEARCH("TRUE",T174)))</formula>
    </cfRule>
  </conditionalFormatting>
  <conditionalFormatting sqref="S175">
    <cfRule type="containsText" dxfId="146" priority="215" operator="containsText" text="TRUE">
      <formula>NOT(ISERROR(SEARCH("TRUE",S175)))</formula>
    </cfRule>
  </conditionalFormatting>
  <conditionalFormatting sqref="T175:XFD175">
    <cfRule type="containsText" dxfId="145" priority="216" operator="containsText" text="TRUE">
      <formula>NOT(ISERROR(SEARCH("TRUE",T175)))</formula>
    </cfRule>
  </conditionalFormatting>
  <conditionalFormatting sqref="S176">
    <cfRule type="containsText" dxfId="144" priority="212" operator="containsText" text="TRUE">
      <formula>NOT(ISERROR(SEARCH("TRUE",S176)))</formula>
    </cfRule>
  </conditionalFormatting>
  <conditionalFormatting sqref="T176:XFD176">
    <cfRule type="containsText" dxfId="143" priority="213" operator="containsText" text="TRUE">
      <formula>NOT(ISERROR(SEARCH("TRUE",T176)))</formula>
    </cfRule>
  </conditionalFormatting>
  <conditionalFormatting sqref="S177">
    <cfRule type="containsText" dxfId="142" priority="209" operator="containsText" text="TRUE">
      <formula>NOT(ISERROR(SEARCH("TRUE",S177)))</formula>
    </cfRule>
  </conditionalFormatting>
  <conditionalFormatting sqref="T177:XFD177">
    <cfRule type="containsText" dxfId="141" priority="210" operator="containsText" text="TRUE">
      <formula>NOT(ISERROR(SEARCH("TRUE",T177)))</formula>
    </cfRule>
  </conditionalFormatting>
  <conditionalFormatting sqref="S178">
    <cfRule type="containsText" dxfId="140" priority="206" operator="containsText" text="TRUE">
      <formula>NOT(ISERROR(SEARCH("TRUE",S178)))</formula>
    </cfRule>
  </conditionalFormatting>
  <conditionalFormatting sqref="T178:XFD178">
    <cfRule type="containsText" dxfId="139" priority="207" operator="containsText" text="TRUE">
      <formula>NOT(ISERROR(SEARCH("TRUE",T178)))</formula>
    </cfRule>
  </conditionalFormatting>
  <conditionalFormatting sqref="S179">
    <cfRule type="containsText" dxfId="138" priority="203" operator="containsText" text="TRUE">
      <formula>NOT(ISERROR(SEARCH("TRUE",S179)))</formula>
    </cfRule>
  </conditionalFormatting>
  <conditionalFormatting sqref="T179:XFD179">
    <cfRule type="containsText" dxfId="137" priority="204" operator="containsText" text="TRUE">
      <formula>NOT(ISERROR(SEARCH("TRUE",T179)))</formula>
    </cfRule>
  </conditionalFormatting>
  <conditionalFormatting sqref="S180">
    <cfRule type="containsText" dxfId="136" priority="200" operator="containsText" text="TRUE">
      <formula>NOT(ISERROR(SEARCH("TRUE",S180)))</formula>
    </cfRule>
  </conditionalFormatting>
  <conditionalFormatting sqref="T180:XFD180">
    <cfRule type="containsText" dxfId="135" priority="201" operator="containsText" text="TRUE">
      <formula>NOT(ISERROR(SEARCH("TRUE",T180)))</formula>
    </cfRule>
  </conditionalFormatting>
  <conditionalFormatting sqref="S181">
    <cfRule type="containsText" dxfId="134" priority="197" operator="containsText" text="TRUE">
      <formula>NOT(ISERROR(SEARCH("TRUE",S181)))</formula>
    </cfRule>
  </conditionalFormatting>
  <conditionalFormatting sqref="T181:XFD181">
    <cfRule type="containsText" dxfId="133" priority="198" operator="containsText" text="TRUE">
      <formula>NOT(ISERROR(SEARCH("TRUE",T181)))</formula>
    </cfRule>
  </conditionalFormatting>
  <conditionalFormatting sqref="S182">
    <cfRule type="containsText" dxfId="132" priority="194" operator="containsText" text="TRUE">
      <formula>NOT(ISERROR(SEARCH("TRUE",S182)))</formula>
    </cfRule>
  </conditionalFormatting>
  <conditionalFormatting sqref="T182:XFD182">
    <cfRule type="containsText" dxfId="131" priority="195" operator="containsText" text="TRUE">
      <formula>NOT(ISERROR(SEARCH("TRUE",T182)))</formula>
    </cfRule>
  </conditionalFormatting>
  <conditionalFormatting sqref="S183">
    <cfRule type="containsText" dxfId="130" priority="191" operator="containsText" text="TRUE">
      <formula>NOT(ISERROR(SEARCH("TRUE",S183)))</formula>
    </cfRule>
  </conditionalFormatting>
  <conditionalFormatting sqref="T183:XFD183">
    <cfRule type="containsText" dxfId="129" priority="192" operator="containsText" text="TRUE">
      <formula>NOT(ISERROR(SEARCH("TRUE",T183)))</formula>
    </cfRule>
  </conditionalFormatting>
  <conditionalFormatting sqref="S184">
    <cfRule type="containsText" dxfId="128" priority="188" operator="containsText" text="TRUE">
      <formula>NOT(ISERROR(SEARCH("TRUE",S184)))</formula>
    </cfRule>
  </conditionalFormatting>
  <conditionalFormatting sqref="T184:XFD184">
    <cfRule type="containsText" dxfId="127" priority="189" operator="containsText" text="TRUE">
      <formula>NOT(ISERROR(SEARCH("TRUE",T184)))</formula>
    </cfRule>
  </conditionalFormatting>
  <conditionalFormatting sqref="S185">
    <cfRule type="containsText" dxfId="126" priority="185" operator="containsText" text="TRUE">
      <formula>NOT(ISERROR(SEARCH("TRUE",S185)))</formula>
    </cfRule>
  </conditionalFormatting>
  <conditionalFormatting sqref="T185:XFD185">
    <cfRule type="containsText" dxfId="125" priority="186" operator="containsText" text="TRUE">
      <formula>NOT(ISERROR(SEARCH("TRUE",T185)))</formula>
    </cfRule>
  </conditionalFormatting>
  <conditionalFormatting sqref="S186">
    <cfRule type="containsText" dxfId="124" priority="182" operator="containsText" text="TRUE">
      <formula>NOT(ISERROR(SEARCH("TRUE",S186)))</formula>
    </cfRule>
  </conditionalFormatting>
  <conditionalFormatting sqref="T186:XFD186">
    <cfRule type="containsText" dxfId="123" priority="183" operator="containsText" text="TRUE">
      <formula>NOT(ISERROR(SEARCH("TRUE",T186)))</formula>
    </cfRule>
  </conditionalFormatting>
  <conditionalFormatting sqref="S187">
    <cfRule type="containsText" dxfId="122" priority="179" operator="containsText" text="TRUE">
      <formula>NOT(ISERROR(SEARCH("TRUE",S187)))</formula>
    </cfRule>
  </conditionalFormatting>
  <conditionalFormatting sqref="T187:XFD187">
    <cfRule type="containsText" dxfId="121" priority="180" operator="containsText" text="TRUE">
      <formula>NOT(ISERROR(SEARCH("TRUE",T187)))</formula>
    </cfRule>
  </conditionalFormatting>
  <conditionalFormatting sqref="S188">
    <cfRule type="containsText" dxfId="120" priority="176" operator="containsText" text="TRUE">
      <formula>NOT(ISERROR(SEARCH("TRUE",S188)))</formula>
    </cfRule>
  </conditionalFormatting>
  <conditionalFormatting sqref="T188:XFD188">
    <cfRule type="containsText" dxfId="119" priority="177" operator="containsText" text="TRUE">
      <formula>NOT(ISERROR(SEARCH("TRUE",T188)))</formula>
    </cfRule>
  </conditionalFormatting>
  <conditionalFormatting sqref="S189">
    <cfRule type="containsText" dxfId="118" priority="173" operator="containsText" text="TRUE">
      <formula>NOT(ISERROR(SEARCH("TRUE",S189)))</formula>
    </cfRule>
  </conditionalFormatting>
  <conditionalFormatting sqref="T189:XFD189">
    <cfRule type="containsText" dxfId="117" priority="174" operator="containsText" text="TRUE">
      <formula>NOT(ISERROR(SEARCH("TRUE",T189)))</formula>
    </cfRule>
  </conditionalFormatting>
  <conditionalFormatting sqref="S190">
    <cfRule type="containsText" dxfId="116" priority="170" operator="containsText" text="TRUE">
      <formula>NOT(ISERROR(SEARCH("TRUE",S190)))</formula>
    </cfRule>
  </conditionalFormatting>
  <conditionalFormatting sqref="T190:XFD190">
    <cfRule type="containsText" dxfId="115" priority="171" operator="containsText" text="TRUE">
      <formula>NOT(ISERROR(SEARCH("TRUE",T190)))</formula>
    </cfRule>
  </conditionalFormatting>
  <conditionalFormatting sqref="S191">
    <cfRule type="containsText" dxfId="114" priority="167" operator="containsText" text="TRUE">
      <formula>NOT(ISERROR(SEARCH("TRUE",S191)))</formula>
    </cfRule>
  </conditionalFormatting>
  <conditionalFormatting sqref="T191:XFD191">
    <cfRule type="containsText" dxfId="113" priority="168" operator="containsText" text="TRUE">
      <formula>NOT(ISERROR(SEARCH("TRUE",T191)))</formula>
    </cfRule>
  </conditionalFormatting>
  <conditionalFormatting sqref="S192">
    <cfRule type="containsText" dxfId="112" priority="164" operator="containsText" text="TRUE">
      <formula>NOT(ISERROR(SEARCH("TRUE",S192)))</formula>
    </cfRule>
  </conditionalFormatting>
  <conditionalFormatting sqref="T192:XFD192">
    <cfRule type="containsText" dxfId="111" priority="165" operator="containsText" text="TRUE">
      <formula>NOT(ISERROR(SEARCH("TRUE",T192)))</formula>
    </cfRule>
  </conditionalFormatting>
  <conditionalFormatting sqref="S193">
    <cfRule type="containsText" dxfId="110" priority="161" operator="containsText" text="TRUE">
      <formula>NOT(ISERROR(SEARCH("TRUE",S193)))</formula>
    </cfRule>
  </conditionalFormatting>
  <conditionalFormatting sqref="T193:XFD193">
    <cfRule type="containsText" dxfId="109" priority="162" operator="containsText" text="TRUE">
      <formula>NOT(ISERROR(SEARCH("TRUE",T193)))</formula>
    </cfRule>
  </conditionalFormatting>
  <conditionalFormatting sqref="S194">
    <cfRule type="containsText" dxfId="108" priority="158" operator="containsText" text="TRUE">
      <formula>NOT(ISERROR(SEARCH("TRUE",S194)))</formula>
    </cfRule>
  </conditionalFormatting>
  <conditionalFormatting sqref="T194:XFD194">
    <cfRule type="containsText" dxfId="107" priority="159" operator="containsText" text="TRUE">
      <formula>NOT(ISERROR(SEARCH("TRUE",T194)))</formula>
    </cfRule>
  </conditionalFormatting>
  <conditionalFormatting sqref="S195">
    <cfRule type="containsText" dxfId="106" priority="155" operator="containsText" text="TRUE">
      <formula>NOT(ISERROR(SEARCH("TRUE",S195)))</formula>
    </cfRule>
  </conditionalFormatting>
  <conditionalFormatting sqref="T195:XFD195">
    <cfRule type="containsText" dxfId="105" priority="156" operator="containsText" text="TRUE">
      <formula>NOT(ISERROR(SEARCH("TRUE",T195)))</formula>
    </cfRule>
  </conditionalFormatting>
  <conditionalFormatting sqref="S196">
    <cfRule type="containsText" dxfId="104" priority="152" operator="containsText" text="TRUE">
      <formula>NOT(ISERROR(SEARCH("TRUE",S196)))</formula>
    </cfRule>
  </conditionalFormatting>
  <conditionalFormatting sqref="T196:XFD196">
    <cfRule type="containsText" dxfId="103" priority="153" operator="containsText" text="TRUE">
      <formula>NOT(ISERROR(SEARCH("TRUE",T196)))</formula>
    </cfRule>
  </conditionalFormatting>
  <conditionalFormatting sqref="S197">
    <cfRule type="containsText" dxfId="102" priority="149" operator="containsText" text="TRUE">
      <formula>NOT(ISERROR(SEARCH("TRUE",S197)))</formula>
    </cfRule>
  </conditionalFormatting>
  <conditionalFormatting sqref="T197:XFD197">
    <cfRule type="containsText" dxfId="101" priority="150" operator="containsText" text="TRUE">
      <formula>NOT(ISERROR(SEARCH("TRUE",T197)))</formula>
    </cfRule>
  </conditionalFormatting>
  <conditionalFormatting sqref="S198">
    <cfRule type="containsText" dxfId="100" priority="146" operator="containsText" text="TRUE">
      <formula>NOT(ISERROR(SEARCH("TRUE",S198)))</formula>
    </cfRule>
  </conditionalFormatting>
  <conditionalFormatting sqref="T198:XFD198">
    <cfRule type="containsText" dxfId="99" priority="147" operator="containsText" text="TRUE">
      <formula>NOT(ISERROR(SEARCH("TRUE",T198)))</formula>
    </cfRule>
  </conditionalFormatting>
  <conditionalFormatting sqref="S199">
    <cfRule type="containsText" dxfId="98" priority="143" operator="containsText" text="TRUE">
      <formula>NOT(ISERROR(SEARCH("TRUE",S199)))</formula>
    </cfRule>
  </conditionalFormatting>
  <conditionalFormatting sqref="T199:XFD199">
    <cfRule type="containsText" dxfId="97" priority="144" operator="containsText" text="TRUE">
      <formula>NOT(ISERROR(SEARCH("TRUE",T199)))</formula>
    </cfRule>
  </conditionalFormatting>
  <conditionalFormatting sqref="S200">
    <cfRule type="containsText" dxfId="96" priority="140" operator="containsText" text="TRUE">
      <formula>NOT(ISERROR(SEARCH("TRUE",S200)))</formula>
    </cfRule>
  </conditionalFormatting>
  <conditionalFormatting sqref="T200:XFD200">
    <cfRule type="containsText" dxfId="95" priority="141" operator="containsText" text="TRUE">
      <formula>NOT(ISERROR(SEARCH("TRUE",T200)))</formula>
    </cfRule>
  </conditionalFormatting>
  <conditionalFormatting sqref="S201">
    <cfRule type="containsText" dxfId="94" priority="137" operator="containsText" text="TRUE">
      <formula>NOT(ISERROR(SEARCH("TRUE",S201)))</formula>
    </cfRule>
  </conditionalFormatting>
  <conditionalFormatting sqref="T201:XFD201">
    <cfRule type="containsText" dxfId="93" priority="138" operator="containsText" text="TRUE">
      <formula>NOT(ISERROR(SEARCH("TRUE",T201)))</formula>
    </cfRule>
  </conditionalFormatting>
  <conditionalFormatting sqref="S202">
    <cfRule type="containsText" dxfId="92" priority="134" operator="containsText" text="TRUE">
      <formula>NOT(ISERROR(SEARCH("TRUE",S202)))</formula>
    </cfRule>
  </conditionalFormatting>
  <conditionalFormatting sqref="T202:XFD202">
    <cfRule type="containsText" dxfId="91" priority="135" operator="containsText" text="TRUE">
      <formula>NOT(ISERROR(SEARCH("TRUE",T202)))</formula>
    </cfRule>
  </conditionalFormatting>
  <conditionalFormatting sqref="S203">
    <cfRule type="containsText" dxfId="90" priority="131" operator="containsText" text="TRUE">
      <formula>NOT(ISERROR(SEARCH("TRUE",S203)))</formula>
    </cfRule>
  </conditionalFormatting>
  <conditionalFormatting sqref="T203:XFD203">
    <cfRule type="containsText" dxfId="89" priority="132" operator="containsText" text="TRUE">
      <formula>NOT(ISERROR(SEARCH("TRUE",T203)))</formula>
    </cfRule>
  </conditionalFormatting>
  <conditionalFormatting sqref="A204 D204:G204 K204:R204">
    <cfRule type="containsText" dxfId="88" priority="130" operator="containsText" text="TRUE">
      <formula>NOT(ISERROR(SEARCH("TRUE",A204)))</formula>
    </cfRule>
  </conditionalFormatting>
  <conditionalFormatting sqref="S204">
    <cfRule type="containsText" dxfId="87" priority="128" operator="containsText" text="TRUE">
      <formula>NOT(ISERROR(SEARCH("TRUE",S204)))</formula>
    </cfRule>
  </conditionalFormatting>
  <conditionalFormatting sqref="T204:XFD204">
    <cfRule type="containsText" dxfId="86" priority="129" operator="containsText" text="TRUE">
      <formula>NOT(ISERROR(SEARCH("TRUE",T204)))</formula>
    </cfRule>
  </conditionalFormatting>
  <conditionalFormatting sqref="A205 D205:G205 K205:R205">
    <cfRule type="containsText" dxfId="85" priority="127" operator="containsText" text="TRUE">
      <formula>NOT(ISERROR(SEARCH("TRUE",A205)))</formula>
    </cfRule>
  </conditionalFormatting>
  <conditionalFormatting sqref="S205">
    <cfRule type="containsText" dxfId="84" priority="125" operator="containsText" text="TRUE">
      <formula>NOT(ISERROR(SEARCH("TRUE",S205)))</formula>
    </cfRule>
  </conditionalFormatting>
  <conditionalFormatting sqref="T205:XFD205">
    <cfRule type="containsText" dxfId="83" priority="126" operator="containsText" text="TRUE">
      <formula>NOT(ISERROR(SEARCH("TRUE",T205)))</formula>
    </cfRule>
  </conditionalFormatting>
  <conditionalFormatting sqref="S206">
    <cfRule type="containsText" dxfId="82" priority="122" operator="containsText" text="TRUE">
      <formula>NOT(ISERROR(SEARCH("TRUE",S206)))</formula>
    </cfRule>
  </conditionalFormatting>
  <conditionalFormatting sqref="T206:XFD206">
    <cfRule type="containsText" dxfId="81" priority="123" operator="containsText" text="TRUE">
      <formula>NOT(ISERROR(SEARCH("TRUE",T206)))</formula>
    </cfRule>
  </conditionalFormatting>
  <conditionalFormatting sqref="S207">
    <cfRule type="containsText" dxfId="80" priority="119" operator="containsText" text="TRUE">
      <formula>NOT(ISERROR(SEARCH("TRUE",S207)))</formula>
    </cfRule>
  </conditionalFormatting>
  <conditionalFormatting sqref="T207:XFD207">
    <cfRule type="containsText" dxfId="79" priority="120" operator="containsText" text="TRUE">
      <formula>NOT(ISERROR(SEARCH("TRUE",T207)))</formula>
    </cfRule>
  </conditionalFormatting>
  <conditionalFormatting sqref="S208">
    <cfRule type="containsText" dxfId="78" priority="116" operator="containsText" text="TRUE">
      <formula>NOT(ISERROR(SEARCH("TRUE",S208)))</formula>
    </cfRule>
  </conditionalFormatting>
  <conditionalFormatting sqref="T208:XFD208">
    <cfRule type="containsText" dxfId="77" priority="117" operator="containsText" text="TRUE">
      <formula>NOT(ISERROR(SEARCH("TRUE",T208)))</formula>
    </cfRule>
  </conditionalFormatting>
  <conditionalFormatting sqref="S209">
    <cfRule type="containsText" dxfId="76" priority="113" operator="containsText" text="TRUE">
      <formula>NOT(ISERROR(SEARCH("TRUE",S209)))</formula>
    </cfRule>
  </conditionalFormatting>
  <conditionalFormatting sqref="T209:XFD209">
    <cfRule type="containsText" dxfId="75" priority="114" operator="containsText" text="TRUE">
      <formula>NOT(ISERROR(SEARCH("TRUE",T209)))</formula>
    </cfRule>
  </conditionalFormatting>
  <conditionalFormatting sqref="S210">
    <cfRule type="containsText" dxfId="74" priority="110" operator="containsText" text="TRUE">
      <formula>NOT(ISERROR(SEARCH("TRUE",S210)))</formula>
    </cfRule>
  </conditionalFormatting>
  <conditionalFormatting sqref="T210:XFD210">
    <cfRule type="containsText" dxfId="73" priority="111" operator="containsText" text="TRUE">
      <formula>NOT(ISERROR(SEARCH("TRUE",T210)))</formula>
    </cfRule>
  </conditionalFormatting>
  <conditionalFormatting sqref="S211">
    <cfRule type="containsText" dxfId="72" priority="107" operator="containsText" text="TRUE">
      <formula>NOT(ISERROR(SEARCH("TRUE",S211)))</formula>
    </cfRule>
  </conditionalFormatting>
  <conditionalFormatting sqref="T211:XFD211">
    <cfRule type="containsText" dxfId="71" priority="108" operator="containsText" text="TRUE">
      <formula>NOT(ISERROR(SEARCH("TRUE",T211)))</formula>
    </cfRule>
  </conditionalFormatting>
  <conditionalFormatting sqref="S212">
    <cfRule type="containsText" dxfId="70" priority="104" operator="containsText" text="TRUE">
      <formula>NOT(ISERROR(SEARCH("TRUE",S212)))</formula>
    </cfRule>
  </conditionalFormatting>
  <conditionalFormatting sqref="T212:XFD212">
    <cfRule type="containsText" dxfId="69" priority="105" operator="containsText" text="TRUE">
      <formula>NOT(ISERROR(SEARCH("TRUE",T212)))</formula>
    </cfRule>
  </conditionalFormatting>
  <conditionalFormatting sqref="S213">
    <cfRule type="containsText" dxfId="68" priority="101" operator="containsText" text="TRUE">
      <formula>NOT(ISERROR(SEARCH("TRUE",S213)))</formula>
    </cfRule>
  </conditionalFormatting>
  <conditionalFormatting sqref="T213:XFD213">
    <cfRule type="containsText" dxfId="67" priority="102" operator="containsText" text="TRUE">
      <formula>NOT(ISERROR(SEARCH("TRUE",T213)))</formula>
    </cfRule>
  </conditionalFormatting>
  <conditionalFormatting sqref="S214">
    <cfRule type="containsText" dxfId="66" priority="98" operator="containsText" text="TRUE">
      <formula>NOT(ISERROR(SEARCH("TRUE",S214)))</formula>
    </cfRule>
  </conditionalFormatting>
  <conditionalFormatting sqref="T214:XFD214">
    <cfRule type="containsText" dxfId="65" priority="99" operator="containsText" text="TRUE">
      <formula>NOT(ISERROR(SEARCH("TRUE",T214)))</formula>
    </cfRule>
  </conditionalFormatting>
  <conditionalFormatting sqref="S215">
    <cfRule type="containsText" dxfId="64" priority="95" operator="containsText" text="TRUE">
      <formula>NOT(ISERROR(SEARCH("TRUE",S215)))</formula>
    </cfRule>
  </conditionalFormatting>
  <conditionalFormatting sqref="T215:XFD215">
    <cfRule type="containsText" dxfId="63" priority="96" operator="containsText" text="TRUE">
      <formula>NOT(ISERROR(SEARCH("TRUE",T215)))</formula>
    </cfRule>
  </conditionalFormatting>
  <conditionalFormatting sqref="S216">
    <cfRule type="containsText" dxfId="62" priority="92" operator="containsText" text="TRUE">
      <formula>NOT(ISERROR(SEARCH("TRUE",S216)))</formula>
    </cfRule>
  </conditionalFormatting>
  <conditionalFormatting sqref="T216:XFD216">
    <cfRule type="containsText" dxfId="61" priority="93" operator="containsText" text="TRUE">
      <formula>NOT(ISERROR(SEARCH("TRUE",T216)))</formula>
    </cfRule>
  </conditionalFormatting>
  <conditionalFormatting sqref="S217">
    <cfRule type="containsText" dxfId="60" priority="89" operator="containsText" text="TRUE">
      <formula>NOT(ISERROR(SEARCH("TRUE",S217)))</formula>
    </cfRule>
  </conditionalFormatting>
  <conditionalFormatting sqref="T217:XFD217">
    <cfRule type="containsText" dxfId="59" priority="90" operator="containsText" text="TRUE">
      <formula>NOT(ISERROR(SEARCH("TRUE",T217)))</formula>
    </cfRule>
  </conditionalFormatting>
  <conditionalFormatting sqref="S218">
    <cfRule type="containsText" dxfId="58" priority="86" operator="containsText" text="TRUE">
      <formula>NOT(ISERROR(SEARCH("TRUE",S218)))</formula>
    </cfRule>
  </conditionalFormatting>
  <conditionalFormatting sqref="T218:XFD218">
    <cfRule type="containsText" dxfId="57" priority="87" operator="containsText" text="TRUE">
      <formula>NOT(ISERROR(SEARCH("TRUE",T218)))</formula>
    </cfRule>
  </conditionalFormatting>
  <conditionalFormatting sqref="S219">
    <cfRule type="containsText" dxfId="56" priority="83" operator="containsText" text="TRUE">
      <formula>NOT(ISERROR(SEARCH("TRUE",S219)))</formula>
    </cfRule>
  </conditionalFormatting>
  <conditionalFormatting sqref="T219:XFD219">
    <cfRule type="containsText" dxfId="55" priority="84" operator="containsText" text="TRUE">
      <formula>NOT(ISERROR(SEARCH("TRUE",T219)))</formula>
    </cfRule>
  </conditionalFormatting>
  <conditionalFormatting sqref="S220">
    <cfRule type="containsText" dxfId="54" priority="80" operator="containsText" text="TRUE">
      <formula>NOT(ISERROR(SEARCH("TRUE",S220)))</formula>
    </cfRule>
  </conditionalFormatting>
  <conditionalFormatting sqref="T220:XFD220">
    <cfRule type="containsText" dxfId="53" priority="81" operator="containsText" text="TRUE">
      <formula>NOT(ISERROR(SEARCH("TRUE",T220)))</formula>
    </cfRule>
  </conditionalFormatting>
  <conditionalFormatting sqref="S221">
    <cfRule type="containsText" dxfId="52" priority="77" operator="containsText" text="TRUE">
      <formula>NOT(ISERROR(SEARCH("TRUE",S221)))</formula>
    </cfRule>
  </conditionalFormatting>
  <conditionalFormatting sqref="T221:XFD221">
    <cfRule type="containsText" dxfId="51" priority="78" operator="containsText" text="TRUE">
      <formula>NOT(ISERROR(SEARCH("TRUE",T221)))</formula>
    </cfRule>
  </conditionalFormatting>
  <conditionalFormatting sqref="S222">
    <cfRule type="containsText" dxfId="50" priority="74" operator="containsText" text="TRUE">
      <formula>NOT(ISERROR(SEARCH("TRUE",S222)))</formula>
    </cfRule>
  </conditionalFormatting>
  <conditionalFormatting sqref="T222:XFD222">
    <cfRule type="containsText" dxfId="49" priority="75" operator="containsText" text="TRUE">
      <formula>NOT(ISERROR(SEARCH("TRUE",T222)))</formula>
    </cfRule>
  </conditionalFormatting>
  <conditionalFormatting sqref="S223">
    <cfRule type="containsText" dxfId="48" priority="71" operator="containsText" text="TRUE">
      <formula>NOT(ISERROR(SEARCH("TRUE",S223)))</formula>
    </cfRule>
  </conditionalFormatting>
  <conditionalFormatting sqref="T223:XFD223">
    <cfRule type="containsText" dxfId="47" priority="72" operator="containsText" text="TRUE">
      <formula>NOT(ISERROR(SEARCH("TRUE",T223)))</formula>
    </cfRule>
  </conditionalFormatting>
  <conditionalFormatting sqref="S224">
    <cfRule type="containsText" dxfId="46" priority="68" operator="containsText" text="TRUE">
      <formula>NOT(ISERROR(SEARCH("TRUE",S224)))</formula>
    </cfRule>
  </conditionalFormatting>
  <conditionalFormatting sqref="T224:XFD224">
    <cfRule type="containsText" dxfId="45" priority="69" operator="containsText" text="TRUE">
      <formula>NOT(ISERROR(SEARCH("TRUE",T224)))</formula>
    </cfRule>
  </conditionalFormatting>
  <conditionalFormatting sqref="S225">
    <cfRule type="containsText" dxfId="44" priority="65" operator="containsText" text="TRUE">
      <formula>NOT(ISERROR(SEARCH("TRUE",S225)))</formula>
    </cfRule>
  </conditionalFormatting>
  <conditionalFormatting sqref="T225:XFD225">
    <cfRule type="containsText" dxfId="43" priority="66" operator="containsText" text="TRUE">
      <formula>NOT(ISERROR(SEARCH("TRUE",T225)))</formula>
    </cfRule>
  </conditionalFormatting>
  <conditionalFormatting sqref="S226">
    <cfRule type="containsText" dxfId="42" priority="62" operator="containsText" text="TRUE">
      <formula>NOT(ISERROR(SEARCH("TRUE",S226)))</formula>
    </cfRule>
  </conditionalFormatting>
  <conditionalFormatting sqref="T226:XFD226">
    <cfRule type="containsText" dxfId="41" priority="63" operator="containsText" text="TRUE">
      <formula>NOT(ISERROR(SEARCH("TRUE",T226)))</formula>
    </cfRule>
  </conditionalFormatting>
  <conditionalFormatting sqref="S227">
    <cfRule type="containsText" dxfId="40" priority="59" operator="containsText" text="TRUE">
      <formula>NOT(ISERROR(SEARCH("TRUE",S227)))</formula>
    </cfRule>
  </conditionalFormatting>
  <conditionalFormatting sqref="T227:XFD227">
    <cfRule type="containsText" dxfId="39" priority="60" operator="containsText" text="TRUE">
      <formula>NOT(ISERROR(SEARCH("TRUE",T227)))</formula>
    </cfRule>
  </conditionalFormatting>
  <conditionalFormatting sqref="S228">
    <cfRule type="containsText" dxfId="38" priority="56" operator="containsText" text="TRUE">
      <formula>NOT(ISERROR(SEARCH("TRUE",S228)))</formula>
    </cfRule>
  </conditionalFormatting>
  <conditionalFormatting sqref="T228:XFD228">
    <cfRule type="containsText" dxfId="37" priority="57" operator="containsText" text="TRUE">
      <formula>NOT(ISERROR(SEARCH("TRUE",T228)))</formula>
    </cfRule>
  </conditionalFormatting>
  <conditionalFormatting sqref="S229">
    <cfRule type="containsText" dxfId="36" priority="53" operator="containsText" text="TRUE">
      <formula>NOT(ISERROR(SEARCH("TRUE",S229)))</formula>
    </cfRule>
  </conditionalFormatting>
  <conditionalFormatting sqref="T229:XFD229">
    <cfRule type="containsText" dxfId="35" priority="54" operator="containsText" text="TRUE">
      <formula>NOT(ISERROR(SEARCH("TRUE",T229)))</formula>
    </cfRule>
  </conditionalFormatting>
  <conditionalFormatting sqref="S230">
    <cfRule type="containsText" dxfId="34" priority="50" operator="containsText" text="TRUE">
      <formula>NOT(ISERROR(SEARCH("TRUE",S230)))</formula>
    </cfRule>
  </conditionalFormatting>
  <conditionalFormatting sqref="T230:XFD230">
    <cfRule type="containsText" dxfId="33" priority="51" operator="containsText" text="TRUE">
      <formula>NOT(ISERROR(SEARCH("TRUE",T230)))</formula>
    </cfRule>
  </conditionalFormatting>
  <conditionalFormatting sqref="S231">
    <cfRule type="containsText" dxfId="32" priority="47" operator="containsText" text="TRUE">
      <formula>NOT(ISERROR(SEARCH("TRUE",S231)))</formula>
    </cfRule>
  </conditionalFormatting>
  <conditionalFormatting sqref="T231:XFD231">
    <cfRule type="containsText" dxfId="31" priority="48" operator="containsText" text="TRUE">
      <formula>NOT(ISERROR(SEARCH("TRUE",T231)))</formula>
    </cfRule>
  </conditionalFormatting>
  <conditionalFormatting sqref="S232">
    <cfRule type="containsText" dxfId="30" priority="44" operator="containsText" text="TRUE">
      <formula>NOT(ISERROR(SEARCH("TRUE",S232)))</formula>
    </cfRule>
  </conditionalFormatting>
  <conditionalFormatting sqref="T232:XFD232">
    <cfRule type="containsText" dxfId="29" priority="45" operator="containsText" text="TRUE">
      <formula>NOT(ISERROR(SEARCH("TRUE",T232)))</formula>
    </cfRule>
  </conditionalFormatting>
  <conditionalFormatting sqref="S233">
    <cfRule type="containsText" dxfId="28" priority="41" operator="containsText" text="TRUE">
      <formula>NOT(ISERROR(SEARCH("TRUE",S233)))</formula>
    </cfRule>
  </conditionalFormatting>
  <conditionalFormatting sqref="T233:XFD233">
    <cfRule type="containsText" dxfId="27" priority="42" operator="containsText" text="TRUE">
      <formula>NOT(ISERROR(SEARCH("TRUE",T233)))</formula>
    </cfRule>
  </conditionalFormatting>
  <conditionalFormatting sqref="S234">
    <cfRule type="containsText" dxfId="26" priority="38" operator="containsText" text="TRUE">
      <formula>NOT(ISERROR(SEARCH("TRUE",S234)))</formula>
    </cfRule>
  </conditionalFormatting>
  <conditionalFormatting sqref="T234:XFD234">
    <cfRule type="containsText" dxfId="25" priority="39" operator="containsText" text="TRUE">
      <formula>NOT(ISERROR(SEARCH("TRUE",T234)))</formula>
    </cfRule>
  </conditionalFormatting>
  <conditionalFormatting sqref="S235">
    <cfRule type="containsText" dxfId="24" priority="35" operator="containsText" text="TRUE">
      <formula>NOT(ISERROR(SEARCH("TRUE",S235)))</formula>
    </cfRule>
  </conditionalFormatting>
  <conditionalFormatting sqref="T235:XFD235">
    <cfRule type="containsText" dxfId="23" priority="36" operator="containsText" text="TRUE">
      <formula>NOT(ISERROR(SEARCH("TRUE",T235)))</formula>
    </cfRule>
  </conditionalFormatting>
  <conditionalFormatting sqref="S236">
    <cfRule type="containsText" dxfId="22" priority="32" operator="containsText" text="TRUE">
      <formula>NOT(ISERROR(SEARCH("TRUE",S236)))</formula>
    </cfRule>
  </conditionalFormatting>
  <conditionalFormatting sqref="T236:XFD236">
    <cfRule type="containsText" dxfId="21" priority="33" operator="containsText" text="TRUE">
      <formula>NOT(ISERROR(SEARCH("TRUE",T236)))</formula>
    </cfRule>
  </conditionalFormatting>
  <conditionalFormatting sqref="S237">
    <cfRule type="containsText" dxfId="20" priority="29" operator="containsText" text="TRUE">
      <formula>NOT(ISERROR(SEARCH("TRUE",S237)))</formula>
    </cfRule>
  </conditionalFormatting>
  <conditionalFormatting sqref="T237:XFD237">
    <cfRule type="containsText" dxfId="19" priority="30" operator="containsText" text="TRUE">
      <formula>NOT(ISERROR(SEARCH("TRUE",T237)))</formula>
    </cfRule>
  </conditionalFormatting>
  <conditionalFormatting sqref="S238">
    <cfRule type="containsText" dxfId="18" priority="26" operator="containsText" text="TRUE">
      <formula>NOT(ISERROR(SEARCH("TRUE",S238)))</formula>
    </cfRule>
  </conditionalFormatting>
  <conditionalFormatting sqref="T238:XFD238">
    <cfRule type="containsText" dxfId="17" priority="27" operator="containsText" text="TRUE">
      <formula>NOT(ISERROR(SEARCH("TRUE",T238)))</formula>
    </cfRule>
  </conditionalFormatting>
  <conditionalFormatting sqref="S239">
    <cfRule type="containsText" dxfId="16" priority="23" operator="containsText" text="TRUE">
      <formula>NOT(ISERROR(SEARCH("TRUE",S239)))</formula>
    </cfRule>
  </conditionalFormatting>
  <conditionalFormatting sqref="T239:XFD239">
    <cfRule type="containsText" dxfId="15" priority="24" operator="containsText" text="TRUE">
      <formula>NOT(ISERROR(SEARCH("TRUE",T239)))</formula>
    </cfRule>
  </conditionalFormatting>
  <conditionalFormatting sqref="S240">
    <cfRule type="containsText" dxfId="14" priority="20" operator="containsText" text="TRUE">
      <formula>NOT(ISERROR(SEARCH("TRUE",S240)))</formula>
    </cfRule>
  </conditionalFormatting>
  <conditionalFormatting sqref="T240:XFD240">
    <cfRule type="containsText" dxfId="13" priority="21" operator="containsText" text="TRUE">
      <formula>NOT(ISERROR(SEARCH("TRUE",T240)))</formula>
    </cfRule>
  </conditionalFormatting>
  <conditionalFormatting sqref="S241">
    <cfRule type="containsText" dxfId="12" priority="17" operator="containsText" text="TRUE">
      <formula>NOT(ISERROR(SEARCH("TRUE",S241)))</formula>
    </cfRule>
  </conditionalFormatting>
  <conditionalFormatting sqref="T241:XFD241">
    <cfRule type="containsText" dxfId="11" priority="18" operator="containsText" text="TRUE">
      <formula>NOT(ISERROR(SEARCH("TRUE",T241)))</formula>
    </cfRule>
  </conditionalFormatting>
  <conditionalFormatting sqref="S242">
    <cfRule type="containsText" dxfId="10" priority="14" operator="containsText" text="TRUE">
      <formula>NOT(ISERROR(SEARCH("TRUE",S242)))</formula>
    </cfRule>
  </conditionalFormatting>
  <conditionalFormatting sqref="T242:XFD242">
    <cfRule type="containsText" dxfId="9" priority="15" operator="containsText" text="TRUE">
      <formula>NOT(ISERROR(SEARCH("TRUE",T242)))</formula>
    </cfRule>
  </conditionalFormatting>
  <conditionalFormatting sqref="S243">
    <cfRule type="containsText" dxfId="8" priority="11" operator="containsText" text="TRUE">
      <formula>NOT(ISERROR(SEARCH("TRUE",S243)))</formula>
    </cfRule>
  </conditionalFormatting>
  <conditionalFormatting sqref="T243:XFD243">
    <cfRule type="containsText" dxfId="7" priority="12" operator="containsText" text="TRUE">
      <formula>NOT(ISERROR(SEARCH("TRUE",T243)))</formula>
    </cfRule>
  </conditionalFormatting>
  <conditionalFormatting sqref="S244">
    <cfRule type="containsText" dxfId="6" priority="8" operator="containsText" text="TRUE">
      <formula>NOT(ISERROR(SEARCH("TRUE",S244)))</formula>
    </cfRule>
  </conditionalFormatting>
  <conditionalFormatting sqref="T244:XFD244">
    <cfRule type="containsText" dxfId="5" priority="9" operator="containsText" text="TRUE">
      <formula>NOT(ISERROR(SEARCH("TRUE",T244)))</formula>
    </cfRule>
  </conditionalFormatting>
  <conditionalFormatting sqref="S245">
    <cfRule type="containsText" dxfId="4" priority="5" operator="containsText" text="TRUE">
      <formula>NOT(ISERROR(SEARCH("TRUE",S245)))</formula>
    </cfRule>
  </conditionalFormatting>
  <conditionalFormatting sqref="T245:XFD245">
    <cfRule type="containsText" dxfId="3" priority="6" operator="containsText" text="TRUE">
      <formula>NOT(ISERROR(SEARCH("TRUE",T245)))</formula>
    </cfRule>
  </conditionalFormatting>
  <conditionalFormatting sqref="S246">
    <cfRule type="containsText" dxfId="2" priority="2" operator="containsText" text="TRUE">
      <formula>NOT(ISERROR(SEARCH("TRUE",S246)))</formula>
    </cfRule>
  </conditionalFormatting>
  <conditionalFormatting sqref="T246:XFD246">
    <cfRule type="containsText" dxfId="1" priority="3" operator="containsText" text="TRUE">
      <formula>NOT(ISERROR(SEARCH("TRUE",T246)))</formula>
    </cfRule>
  </conditionalFormatting>
  <conditionalFormatting sqref="L251:L252 L254 B274:C275 G274:I275 B305:C307 G305:I307 B313:C315 G313:I315 B322:C325 G322:I325 B335:C344 G335:I344">
    <cfRule type="containsText" dxfId="0" priority="1" operator="containsText" text="TRUE">
      <formula>NOT(ISERROR(SEARCH("TRUE",B251)))</formula>
    </cfRule>
  </conditionalFormatting>
  <dataValidations disablePrompts="1" count="1">
    <dataValidation type="list" allowBlank="1" showInputMessage="1" sqref="M8" xr:uid="{19220170-BCD4-451E-9471-B87D0480E577}">
      <formula1>"No Rounding,000s, Millions"</formula1>
    </dataValidation>
  </dataValidation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headerFooter>
    <oddFooter>&amp;R
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사용안내</vt:lpstr>
      <vt:lpstr>공시BS</vt:lpstr>
      <vt:lpstr>공시IS</vt:lpstr>
      <vt:lpstr>왜곡표시</vt:lpstr>
      <vt:lpstr>FAR</vt:lpstr>
      <vt:lpstr>CurMonths</vt:lpstr>
      <vt:lpstr>FAR!Print_Area</vt:lpstr>
      <vt:lpstr>공시IS!Print_Area</vt:lpstr>
      <vt:lpstr>왜곡표시!Print_Area</vt:lpstr>
      <vt:lpstr>PriorMonths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2026-09-30T06:19:14Z</dcterms:created>
  <dcterms:modified xsi:type="dcterms:W3CDTF">2026-09-30T06:55:06Z</dcterms:modified>
</cp:coreProperties>
</file>